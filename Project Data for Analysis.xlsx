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https://d.docs.live.net/6566d387add5c5d1/Documents/"/>
    </mc:Choice>
  </mc:AlternateContent>
  <xr:revisionPtr revIDLastSave="6" documentId="8_{06014202-9EA9-4E04-9405-0064FBFD3622}" xr6:coauthVersionLast="47" xr6:coauthVersionMax="47" xr10:uidLastSave="{CF1572F6-98C5-4CC5-B0E5-7303896C74BA}"/>
  <bookViews>
    <workbookView xWindow="-110" yWindow="-110" windowWidth="19420" windowHeight="11020" activeTab="3" xr2:uid="{00000000-000D-0000-FFFF-FFFF00000000}"/>
  </bookViews>
  <sheets>
    <sheet name="Raw data" sheetId="2" r:id="rId1"/>
    <sheet name="Worksheet" sheetId="4" r:id="rId2"/>
    <sheet name="Pivot Table" sheetId="5" r:id="rId3"/>
    <sheet name="Pivot Table 2" sheetId="17" r:id="rId4"/>
    <sheet name="Pivot Table 3" sheetId="23" r:id="rId5"/>
    <sheet name="Dashboard" sheetId="6" r:id="rId6"/>
  </sheets>
  <definedNames>
    <definedName name="_xlnm._FilterDatabase" localSheetId="0" hidden="1">'Raw data'!$B$9:$AC$62</definedName>
    <definedName name="_xlnm._FilterDatabase" localSheetId="1" hidden="1">Worksheet!$A$1:$AF$55</definedName>
    <definedName name="Slicer_Cost_____hr">#N/A</definedName>
    <definedName name="Slicer_Month">#N/A</definedName>
    <definedName name="Slicer_Resource">#N/A</definedName>
    <definedName name="Slicer_Task">#N/A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32" i="4" l="1"/>
  <c r="AP31" i="4"/>
  <c r="AP30" i="4"/>
  <c r="AP29" i="4"/>
  <c r="AP28" i="4"/>
  <c r="AP27" i="4"/>
  <c r="AP26" i="4"/>
  <c r="AP25" i="4"/>
  <c r="AP24" i="4"/>
  <c r="AP23" i="4"/>
  <c r="AP22" i="4"/>
  <c r="AP21" i="4"/>
  <c r="AP20" i="4"/>
  <c r="AP19" i="4"/>
  <c r="AP18" i="4"/>
  <c r="AP17" i="4"/>
  <c r="AP16" i="4"/>
  <c r="AP15" i="4"/>
  <c r="AP14" i="4"/>
  <c r="AP13" i="4"/>
  <c r="AP12" i="4"/>
  <c r="AP11" i="4"/>
  <c r="AP10" i="4"/>
  <c r="AP9" i="4"/>
  <c r="AP8" i="4"/>
  <c r="AP7" i="4"/>
  <c r="AP6" i="4"/>
  <c r="AP5" i="4"/>
  <c r="AP4" i="4"/>
  <c r="AP3" i="4"/>
  <c r="F69" i="4"/>
  <c r="G69" i="4"/>
  <c r="H69" i="4"/>
  <c r="I69" i="4"/>
  <c r="J69" i="4"/>
  <c r="K69" i="4"/>
  <c r="L69" i="4"/>
  <c r="M69" i="4"/>
  <c r="N69" i="4"/>
  <c r="O69" i="4"/>
  <c r="P69" i="4"/>
  <c r="R69" i="4"/>
  <c r="Z69" i="4"/>
  <c r="F66" i="4"/>
  <c r="G66" i="4"/>
  <c r="H66" i="4"/>
  <c r="I66" i="4"/>
  <c r="J66" i="4"/>
  <c r="K66" i="4"/>
  <c r="L66" i="4"/>
  <c r="M66" i="4"/>
  <c r="N66" i="4"/>
  <c r="O66" i="4"/>
  <c r="P66" i="4"/>
  <c r="V66" i="4"/>
  <c r="F64" i="4"/>
  <c r="G64" i="4"/>
  <c r="H64" i="4"/>
  <c r="I64" i="4"/>
  <c r="J64" i="4"/>
  <c r="K64" i="4"/>
  <c r="L64" i="4"/>
  <c r="M64" i="4"/>
  <c r="N64" i="4"/>
  <c r="O64" i="4"/>
  <c r="P64" i="4"/>
  <c r="R64" i="4"/>
  <c r="Z64" i="4"/>
  <c r="F61" i="4"/>
  <c r="G61" i="4"/>
  <c r="H61" i="4"/>
  <c r="I61" i="4"/>
  <c r="J61" i="4"/>
  <c r="K61" i="4"/>
  <c r="L61" i="4"/>
  <c r="M61" i="4"/>
  <c r="N61" i="4"/>
  <c r="O61" i="4"/>
  <c r="P61" i="4"/>
  <c r="V61" i="4"/>
  <c r="E69" i="4"/>
  <c r="E66" i="4"/>
  <c r="E64" i="4"/>
  <c r="E61" i="4"/>
  <c r="O59" i="4"/>
  <c r="P59" i="4"/>
  <c r="F59" i="4"/>
  <c r="G59" i="4"/>
  <c r="H59" i="4"/>
  <c r="I59" i="4"/>
  <c r="J59" i="4"/>
  <c r="K59" i="4"/>
  <c r="L59" i="4"/>
  <c r="M59" i="4"/>
  <c r="N59" i="4"/>
  <c r="E59" i="4"/>
  <c r="P56" i="4"/>
  <c r="M56" i="4"/>
  <c r="N56" i="4"/>
  <c r="O56" i="4"/>
  <c r="J56" i="4"/>
  <c r="K56" i="4"/>
  <c r="L56" i="4"/>
  <c r="F56" i="4"/>
  <c r="G56" i="4"/>
  <c r="H56" i="4"/>
  <c r="I56" i="4"/>
  <c r="E56" i="4"/>
  <c r="AB3" i="4"/>
  <c r="AD4" i="4"/>
  <c r="AD5" i="4"/>
  <c r="AD6" i="4"/>
  <c r="AD7" i="4"/>
  <c r="AI7" i="4" s="1"/>
  <c r="AD8" i="4"/>
  <c r="AD9" i="4"/>
  <c r="AD10" i="4"/>
  <c r="AD11" i="4"/>
  <c r="AD12" i="4"/>
  <c r="AD13" i="4"/>
  <c r="AD14" i="4"/>
  <c r="AD15" i="4"/>
  <c r="AD16" i="4"/>
  <c r="AD17" i="4"/>
  <c r="AD18" i="4"/>
  <c r="AD61" i="4" s="1"/>
  <c r="AD19" i="4"/>
  <c r="AD20" i="4"/>
  <c r="AD21" i="4"/>
  <c r="AD64" i="4" s="1"/>
  <c r="AD22" i="4"/>
  <c r="AD23" i="4"/>
  <c r="AI23" i="4" s="1"/>
  <c r="AD24" i="4"/>
  <c r="AD25" i="4"/>
  <c r="AD26" i="4"/>
  <c r="AD27" i="4"/>
  <c r="AD28" i="4"/>
  <c r="AD29" i="4"/>
  <c r="AD30" i="4"/>
  <c r="AD31" i="4"/>
  <c r="AD32" i="4"/>
  <c r="AD33" i="4"/>
  <c r="AD34" i="4"/>
  <c r="AD35" i="4"/>
  <c r="AD36" i="4"/>
  <c r="AD37" i="4"/>
  <c r="AD38" i="4"/>
  <c r="AD39" i="4"/>
  <c r="AD40" i="4"/>
  <c r="AD41" i="4"/>
  <c r="AD42" i="4"/>
  <c r="AD66" i="4" s="1"/>
  <c r="AD43" i="4"/>
  <c r="AD44" i="4"/>
  <c r="AD45" i="4"/>
  <c r="AD46" i="4"/>
  <c r="AD47" i="4"/>
  <c r="AD48" i="4"/>
  <c r="AD49" i="4"/>
  <c r="AD69" i="4" s="1"/>
  <c r="AD50" i="4"/>
  <c r="AD51" i="4"/>
  <c r="AD52" i="4"/>
  <c r="AD53" i="4"/>
  <c r="AD54" i="4"/>
  <c r="AD55" i="4"/>
  <c r="AD3" i="4"/>
  <c r="AC4" i="4"/>
  <c r="AC5" i="4"/>
  <c r="AC6" i="4"/>
  <c r="AC7" i="4"/>
  <c r="AC8" i="4"/>
  <c r="AC9" i="4"/>
  <c r="AI9" i="4" s="1"/>
  <c r="AC10" i="4"/>
  <c r="AC11" i="4"/>
  <c r="AC12" i="4"/>
  <c r="AC61" i="4" s="1"/>
  <c r="AC13" i="4"/>
  <c r="AC14" i="4"/>
  <c r="AC15" i="4"/>
  <c r="AC16" i="4"/>
  <c r="AC17" i="4"/>
  <c r="AC18" i="4"/>
  <c r="AC19" i="4"/>
  <c r="AI19" i="4" s="1"/>
  <c r="AC20" i="4"/>
  <c r="AC21" i="4"/>
  <c r="AC64" i="4" s="1"/>
  <c r="AC22" i="4"/>
  <c r="AC23" i="4"/>
  <c r="AC24" i="4"/>
  <c r="AC25" i="4"/>
  <c r="AC26" i="4"/>
  <c r="AC27" i="4"/>
  <c r="AI27" i="4" s="1"/>
  <c r="AC28" i="4"/>
  <c r="AC29" i="4"/>
  <c r="AC30" i="4"/>
  <c r="AC31" i="4"/>
  <c r="AC32" i="4"/>
  <c r="AI32" i="4" s="1"/>
  <c r="AC33" i="4"/>
  <c r="AC34" i="4"/>
  <c r="AC35" i="4"/>
  <c r="AI35" i="4" s="1"/>
  <c r="AC36" i="4"/>
  <c r="AC37" i="4"/>
  <c r="AC38" i="4"/>
  <c r="AC39" i="4"/>
  <c r="AC40" i="4"/>
  <c r="AI40" i="4" s="1"/>
  <c r="AC41" i="4"/>
  <c r="AC42" i="4"/>
  <c r="AC43" i="4"/>
  <c r="AI43" i="4" s="1"/>
  <c r="AC44" i="4"/>
  <c r="AC45" i="4"/>
  <c r="AC46" i="4"/>
  <c r="AC47" i="4"/>
  <c r="AC48" i="4"/>
  <c r="AC49" i="4"/>
  <c r="AC69" i="4" s="1"/>
  <c r="AC50" i="4"/>
  <c r="AC51" i="4"/>
  <c r="AI51" i="4" s="1"/>
  <c r="AC52" i="4"/>
  <c r="AC53" i="4"/>
  <c r="AC54" i="4"/>
  <c r="AC55" i="4"/>
  <c r="AC3" i="4"/>
  <c r="AC59" i="4" s="1"/>
  <c r="AB55" i="4"/>
  <c r="AA55" i="4"/>
  <c r="Z55" i="4"/>
  <c r="Y55" i="4"/>
  <c r="X55" i="4"/>
  <c r="W55" i="4"/>
  <c r="V55" i="4"/>
  <c r="U55" i="4"/>
  <c r="T55" i="4"/>
  <c r="S55" i="4"/>
  <c r="R55" i="4"/>
  <c r="Q55" i="4"/>
  <c r="AE55" i="4" s="1"/>
  <c r="AB54" i="4"/>
  <c r="AA54" i="4"/>
  <c r="Z54" i="4"/>
  <c r="Y54" i="4"/>
  <c r="X54" i="4"/>
  <c r="W54" i="4"/>
  <c r="V54" i="4"/>
  <c r="U54" i="4"/>
  <c r="T54" i="4"/>
  <c r="S54" i="4"/>
  <c r="R54" i="4"/>
  <c r="Q54" i="4"/>
  <c r="AB53" i="4"/>
  <c r="AA53" i="4"/>
  <c r="Z53" i="4"/>
  <c r="Y53" i="4"/>
  <c r="X53" i="4"/>
  <c r="W53" i="4"/>
  <c r="V53" i="4"/>
  <c r="U53" i="4"/>
  <c r="T53" i="4"/>
  <c r="S53" i="4"/>
  <c r="R53" i="4"/>
  <c r="Q53" i="4"/>
  <c r="AE53" i="4" s="1"/>
  <c r="AB52" i="4"/>
  <c r="AA52" i="4"/>
  <c r="Z52" i="4"/>
  <c r="Y52" i="4"/>
  <c r="X52" i="4"/>
  <c r="W52" i="4"/>
  <c r="V52" i="4"/>
  <c r="U52" i="4"/>
  <c r="T52" i="4"/>
  <c r="S52" i="4"/>
  <c r="R52" i="4"/>
  <c r="Q52" i="4"/>
  <c r="AB51" i="4"/>
  <c r="AA51" i="4"/>
  <c r="Z51" i="4"/>
  <c r="Y51" i="4"/>
  <c r="X51" i="4"/>
  <c r="W51" i="4"/>
  <c r="V51" i="4"/>
  <c r="U51" i="4"/>
  <c r="T51" i="4"/>
  <c r="S51" i="4"/>
  <c r="R51" i="4"/>
  <c r="Q51" i="4"/>
  <c r="AB50" i="4"/>
  <c r="AA50" i="4"/>
  <c r="Z50" i="4"/>
  <c r="Y50" i="4"/>
  <c r="X50" i="4"/>
  <c r="W50" i="4"/>
  <c r="AF50" i="4" s="1"/>
  <c r="V50" i="4"/>
  <c r="U50" i="4"/>
  <c r="T50" i="4"/>
  <c r="S50" i="4"/>
  <c r="R50" i="4"/>
  <c r="Q50" i="4"/>
  <c r="AB49" i="4"/>
  <c r="AB69" i="4" s="1"/>
  <c r="AA49" i="4"/>
  <c r="AA69" i="4" s="1"/>
  <c r="Z49" i="4"/>
  <c r="Y49" i="4"/>
  <c r="Y69" i="4" s="1"/>
  <c r="X49" i="4"/>
  <c r="X69" i="4" s="1"/>
  <c r="W49" i="4"/>
  <c r="W69" i="4" s="1"/>
  <c r="V49" i="4"/>
  <c r="V69" i="4" s="1"/>
  <c r="U49" i="4"/>
  <c r="U69" i="4" s="1"/>
  <c r="T49" i="4"/>
  <c r="T69" i="4" s="1"/>
  <c r="S49" i="4"/>
  <c r="S69" i="4" s="1"/>
  <c r="R49" i="4"/>
  <c r="Q49" i="4"/>
  <c r="Q69" i="4" s="1"/>
  <c r="AB48" i="4"/>
  <c r="AA48" i="4"/>
  <c r="Z48" i="4"/>
  <c r="Y48" i="4"/>
  <c r="X48" i="4"/>
  <c r="W48" i="4"/>
  <c r="V48" i="4"/>
  <c r="U48" i="4"/>
  <c r="T48" i="4"/>
  <c r="S48" i="4"/>
  <c r="R48" i="4"/>
  <c r="Q48" i="4"/>
  <c r="AB47" i="4"/>
  <c r="AA47" i="4"/>
  <c r="Z47" i="4"/>
  <c r="Y47" i="4"/>
  <c r="X47" i="4"/>
  <c r="W47" i="4"/>
  <c r="V47" i="4"/>
  <c r="U47" i="4"/>
  <c r="T47" i="4"/>
  <c r="S47" i="4"/>
  <c r="R47" i="4"/>
  <c r="Q47" i="4"/>
  <c r="AE47" i="4" s="1"/>
  <c r="AB46" i="4"/>
  <c r="AA46" i="4"/>
  <c r="Z46" i="4"/>
  <c r="Y46" i="4"/>
  <c r="X46" i="4"/>
  <c r="W46" i="4"/>
  <c r="V46" i="4"/>
  <c r="U46" i="4"/>
  <c r="T46" i="4"/>
  <c r="S46" i="4"/>
  <c r="R46" i="4"/>
  <c r="Q46" i="4"/>
  <c r="AB45" i="4"/>
  <c r="AA45" i="4"/>
  <c r="Z45" i="4"/>
  <c r="Y45" i="4"/>
  <c r="X45" i="4"/>
  <c r="W45" i="4"/>
  <c r="V45" i="4"/>
  <c r="U45" i="4"/>
  <c r="T45" i="4"/>
  <c r="S45" i="4"/>
  <c r="R45" i="4"/>
  <c r="Q45" i="4"/>
  <c r="AE45" i="4" s="1"/>
  <c r="AB44" i="4"/>
  <c r="AA44" i="4"/>
  <c r="Z44" i="4"/>
  <c r="Y44" i="4"/>
  <c r="X44" i="4"/>
  <c r="W44" i="4"/>
  <c r="V44" i="4"/>
  <c r="U44" i="4"/>
  <c r="T44" i="4"/>
  <c r="S44" i="4"/>
  <c r="R44" i="4"/>
  <c r="Q44" i="4"/>
  <c r="AB43" i="4"/>
  <c r="AA43" i="4"/>
  <c r="Z43" i="4"/>
  <c r="Y43" i="4"/>
  <c r="X43" i="4"/>
  <c r="W43" i="4"/>
  <c r="V43" i="4"/>
  <c r="U43" i="4"/>
  <c r="T43" i="4"/>
  <c r="S43" i="4"/>
  <c r="R43" i="4"/>
  <c r="Q43" i="4"/>
  <c r="AE43" i="4" s="1"/>
  <c r="AB42" i="4"/>
  <c r="AA42" i="4"/>
  <c r="Z42" i="4"/>
  <c r="Y42" i="4"/>
  <c r="X42" i="4"/>
  <c r="W42" i="4"/>
  <c r="V42" i="4"/>
  <c r="U42" i="4"/>
  <c r="T42" i="4"/>
  <c r="S42" i="4"/>
  <c r="R42" i="4"/>
  <c r="Q42" i="4"/>
  <c r="AB41" i="4"/>
  <c r="AA41" i="4"/>
  <c r="Z41" i="4"/>
  <c r="Y41" i="4"/>
  <c r="X41" i="4"/>
  <c r="W41" i="4"/>
  <c r="V41" i="4"/>
  <c r="U41" i="4"/>
  <c r="T41" i="4"/>
  <c r="S41" i="4"/>
  <c r="R41" i="4"/>
  <c r="Q41" i="4"/>
  <c r="AB40" i="4"/>
  <c r="AF40" i="4" s="1"/>
  <c r="AA40" i="4"/>
  <c r="Z40" i="4"/>
  <c r="Y40" i="4"/>
  <c r="X40" i="4"/>
  <c r="W40" i="4"/>
  <c r="V40" i="4"/>
  <c r="U40" i="4"/>
  <c r="T40" i="4"/>
  <c r="S40" i="4"/>
  <c r="R40" i="4"/>
  <c r="Q40" i="4"/>
  <c r="AB39" i="4"/>
  <c r="AA39" i="4"/>
  <c r="Z39" i="4"/>
  <c r="Y39" i="4"/>
  <c r="X39" i="4"/>
  <c r="W39" i="4"/>
  <c r="V39" i="4"/>
  <c r="U39" i="4"/>
  <c r="T39" i="4"/>
  <c r="S39" i="4"/>
  <c r="R39" i="4"/>
  <c r="Q39" i="4"/>
  <c r="AB38" i="4"/>
  <c r="AA38" i="4"/>
  <c r="Z38" i="4"/>
  <c r="Y38" i="4"/>
  <c r="X38" i="4"/>
  <c r="W38" i="4"/>
  <c r="V38" i="4"/>
  <c r="U38" i="4"/>
  <c r="T38" i="4"/>
  <c r="S38" i="4"/>
  <c r="R38" i="4"/>
  <c r="Q38" i="4"/>
  <c r="AB37" i="4"/>
  <c r="AA37" i="4"/>
  <c r="Z37" i="4"/>
  <c r="Y37" i="4"/>
  <c r="X37" i="4"/>
  <c r="W37" i="4"/>
  <c r="V37" i="4"/>
  <c r="U37" i="4"/>
  <c r="T37" i="4"/>
  <c r="S37" i="4"/>
  <c r="R37" i="4"/>
  <c r="Q37" i="4"/>
  <c r="AE37" i="4" s="1"/>
  <c r="AB36" i="4"/>
  <c r="AA36" i="4"/>
  <c r="Z36" i="4"/>
  <c r="Y36" i="4"/>
  <c r="X36" i="4"/>
  <c r="W36" i="4"/>
  <c r="V36" i="4"/>
  <c r="U36" i="4"/>
  <c r="T36" i="4"/>
  <c r="S36" i="4"/>
  <c r="R36" i="4"/>
  <c r="Q36" i="4"/>
  <c r="AB35" i="4"/>
  <c r="AB66" i="4" s="1"/>
  <c r="AA35" i="4"/>
  <c r="AA66" i="4" s="1"/>
  <c r="Z35" i="4"/>
  <c r="Z66" i="4" s="1"/>
  <c r="Y35" i="4"/>
  <c r="X35" i="4"/>
  <c r="X66" i="4" s="1"/>
  <c r="W35" i="4"/>
  <c r="W66" i="4" s="1"/>
  <c r="V35" i="4"/>
  <c r="U35" i="4"/>
  <c r="U66" i="4" s="1"/>
  <c r="T35" i="4"/>
  <c r="T66" i="4" s="1"/>
  <c r="S35" i="4"/>
  <c r="S66" i="4" s="1"/>
  <c r="R35" i="4"/>
  <c r="R66" i="4" s="1"/>
  <c r="Q35" i="4"/>
  <c r="AE35" i="4" s="1"/>
  <c r="AB34" i="4"/>
  <c r="AA34" i="4"/>
  <c r="Z34" i="4"/>
  <c r="Y34" i="4"/>
  <c r="X34" i="4"/>
  <c r="W34" i="4"/>
  <c r="V34" i="4"/>
  <c r="U34" i="4"/>
  <c r="T34" i="4"/>
  <c r="S34" i="4"/>
  <c r="R34" i="4"/>
  <c r="Q34" i="4"/>
  <c r="AB33" i="4"/>
  <c r="AA33" i="4"/>
  <c r="Z33" i="4"/>
  <c r="Y33" i="4"/>
  <c r="X33" i="4"/>
  <c r="W33" i="4"/>
  <c r="V33" i="4"/>
  <c r="U33" i="4"/>
  <c r="T33" i="4"/>
  <c r="S33" i="4"/>
  <c r="R33" i="4"/>
  <c r="Q33" i="4"/>
  <c r="AB32" i="4"/>
  <c r="AA32" i="4"/>
  <c r="Z32" i="4"/>
  <c r="Y32" i="4"/>
  <c r="X32" i="4"/>
  <c r="W32" i="4"/>
  <c r="V32" i="4"/>
  <c r="U32" i="4"/>
  <c r="T32" i="4"/>
  <c r="S32" i="4"/>
  <c r="R32" i="4"/>
  <c r="Q32" i="4"/>
  <c r="AB31" i="4"/>
  <c r="AA31" i="4"/>
  <c r="Z31" i="4"/>
  <c r="Y31" i="4"/>
  <c r="X31" i="4"/>
  <c r="W31" i="4"/>
  <c r="V31" i="4"/>
  <c r="U31" i="4"/>
  <c r="T31" i="4"/>
  <c r="S31" i="4"/>
  <c r="R31" i="4"/>
  <c r="Q31" i="4"/>
  <c r="AE31" i="4" s="1"/>
  <c r="AB30" i="4"/>
  <c r="AA30" i="4"/>
  <c r="Z30" i="4"/>
  <c r="Y30" i="4"/>
  <c r="X30" i="4"/>
  <c r="W30" i="4"/>
  <c r="AF30" i="4" s="1"/>
  <c r="V30" i="4"/>
  <c r="U30" i="4"/>
  <c r="T30" i="4"/>
  <c r="S30" i="4"/>
  <c r="R30" i="4"/>
  <c r="Q30" i="4"/>
  <c r="AB29" i="4"/>
  <c r="AA29" i="4"/>
  <c r="Z29" i="4"/>
  <c r="Y29" i="4"/>
  <c r="X29" i="4"/>
  <c r="W29" i="4"/>
  <c r="V29" i="4"/>
  <c r="U29" i="4"/>
  <c r="T29" i="4"/>
  <c r="S29" i="4"/>
  <c r="R29" i="4"/>
  <c r="Q29" i="4"/>
  <c r="AB28" i="4"/>
  <c r="AA28" i="4"/>
  <c r="Z28" i="4"/>
  <c r="Y28" i="4"/>
  <c r="X28" i="4"/>
  <c r="W28" i="4"/>
  <c r="V28" i="4"/>
  <c r="U28" i="4"/>
  <c r="T28" i="4"/>
  <c r="S28" i="4"/>
  <c r="R28" i="4"/>
  <c r="Q28" i="4"/>
  <c r="AB27" i="4"/>
  <c r="AA27" i="4"/>
  <c r="Z27" i="4"/>
  <c r="Y27" i="4"/>
  <c r="X27" i="4"/>
  <c r="W27" i="4"/>
  <c r="V27" i="4"/>
  <c r="U27" i="4"/>
  <c r="T27" i="4"/>
  <c r="S27" i="4"/>
  <c r="R27" i="4"/>
  <c r="Q27" i="4"/>
  <c r="AE27" i="4" s="1"/>
  <c r="AB26" i="4"/>
  <c r="AA26" i="4"/>
  <c r="Z26" i="4"/>
  <c r="Y26" i="4"/>
  <c r="X26" i="4"/>
  <c r="W26" i="4"/>
  <c r="V26" i="4"/>
  <c r="U26" i="4"/>
  <c r="T26" i="4"/>
  <c r="S26" i="4"/>
  <c r="R26" i="4"/>
  <c r="Q26" i="4"/>
  <c r="AB25" i="4"/>
  <c r="AA25" i="4"/>
  <c r="Z25" i="4"/>
  <c r="Y25" i="4"/>
  <c r="X25" i="4"/>
  <c r="W25" i="4"/>
  <c r="V25" i="4"/>
  <c r="U25" i="4"/>
  <c r="T25" i="4"/>
  <c r="S25" i="4"/>
  <c r="R25" i="4"/>
  <c r="Q25" i="4"/>
  <c r="AB24" i="4"/>
  <c r="AA24" i="4"/>
  <c r="Z24" i="4"/>
  <c r="Y24" i="4"/>
  <c r="X24" i="4"/>
  <c r="W24" i="4"/>
  <c r="V24" i="4"/>
  <c r="U24" i="4"/>
  <c r="T24" i="4"/>
  <c r="S24" i="4"/>
  <c r="R24" i="4"/>
  <c r="Q24" i="4"/>
  <c r="AB23" i="4"/>
  <c r="AA23" i="4"/>
  <c r="Z23" i="4"/>
  <c r="Y23" i="4"/>
  <c r="X23" i="4"/>
  <c r="W23" i="4"/>
  <c r="V23" i="4"/>
  <c r="U23" i="4"/>
  <c r="T23" i="4"/>
  <c r="S23" i="4"/>
  <c r="R23" i="4"/>
  <c r="Q23" i="4"/>
  <c r="AE23" i="4" s="1"/>
  <c r="AB22" i="4"/>
  <c r="AA22" i="4"/>
  <c r="Z22" i="4"/>
  <c r="Y22" i="4"/>
  <c r="X22" i="4"/>
  <c r="W22" i="4"/>
  <c r="V22" i="4"/>
  <c r="U22" i="4"/>
  <c r="T22" i="4"/>
  <c r="S22" i="4"/>
  <c r="R22" i="4"/>
  <c r="Q22" i="4"/>
  <c r="AB21" i="4"/>
  <c r="AB64" i="4" s="1"/>
  <c r="AA21" i="4"/>
  <c r="AA64" i="4" s="1"/>
  <c r="Z21" i="4"/>
  <c r="Y21" i="4"/>
  <c r="Y64" i="4" s="1"/>
  <c r="X21" i="4"/>
  <c r="X64" i="4" s="1"/>
  <c r="W21" i="4"/>
  <c r="W64" i="4" s="1"/>
  <c r="V21" i="4"/>
  <c r="V64" i="4" s="1"/>
  <c r="U21" i="4"/>
  <c r="U64" i="4" s="1"/>
  <c r="T21" i="4"/>
  <c r="T64" i="4" s="1"/>
  <c r="S21" i="4"/>
  <c r="S64" i="4" s="1"/>
  <c r="R21" i="4"/>
  <c r="Q21" i="4"/>
  <c r="AE21" i="4" s="1"/>
  <c r="AB20" i="4"/>
  <c r="AA20" i="4"/>
  <c r="Z20" i="4"/>
  <c r="Y20" i="4"/>
  <c r="X20" i="4"/>
  <c r="W20" i="4"/>
  <c r="V20" i="4"/>
  <c r="U20" i="4"/>
  <c r="T20" i="4"/>
  <c r="S20" i="4"/>
  <c r="R20" i="4"/>
  <c r="Q20" i="4"/>
  <c r="AB19" i="4"/>
  <c r="AA19" i="4"/>
  <c r="Z19" i="4"/>
  <c r="Y19" i="4"/>
  <c r="X19" i="4"/>
  <c r="W19" i="4"/>
  <c r="V19" i="4"/>
  <c r="U19" i="4"/>
  <c r="T19" i="4"/>
  <c r="S19" i="4"/>
  <c r="R19" i="4"/>
  <c r="Q19" i="4"/>
  <c r="AB18" i="4"/>
  <c r="AA18" i="4"/>
  <c r="Z18" i="4"/>
  <c r="Y18" i="4"/>
  <c r="X18" i="4"/>
  <c r="W18" i="4"/>
  <c r="AF18" i="4" s="1"/>
  <c r="V18" i="4"/>
  <c r="U18" i="4"/>
  <c r="T18" i="4"/>
  <c r="S18" i="4"/>
  <c r="R18" i="4"/>
  <c r="Q18" i="4"/>
  <c r="AB17" i="4"/>
  <c r="AA17" i="4"/>
  <c r="Z17" i="4"/>
  <c r="Y17" i="4"/>
  <c r="X17" i="4"/>
  <c r="W17" i="4"/>
  <c r="V17" i="4"/>
  <c r="U17" i="4"/>
  <c r="T17" i="4"/>
  <c r="S17" i="4"/>
  <c r="R17" i="4"/>
  <c r="Q17" i="4"/>
  <c r="AB16" i="4"/>
  <c r="AA16" i="4"/>
  <c r="Z16" i="4"/>
  <c r="Y16" i="4"/>
  <c r="X16" i="4"/>
  <c r="W16" i="4"/>
  <c r="V16" i="4"/>
  <c r="U16" i="4"/>
  <c r="T16" i="4"/>
  <c r="S16" i="4"/>
  <c r="R16" i="4"/>
  <c r="Q16" i="4"/>
  <c r="AB15" i="4"/>
  <c r="AA15" i="4"/>
  <c r="Z15" i="4"/>
  <c r="Y15" i="4"/>
  <c r="X15" i="4"/>
  <c r="W15" i="4"/>
  <c r="V15" i="4"/>
  <c r="U15" i="4"/>
  <c r="T15" i="4"/>
  <c r="S15" i="4"/>
  <c r="R15" i="4"/>
  <c r="Q15" i="4"/>
  <c r="AE15" i="4" s="1"/>
  <c r="AB14" i="4"/>
  <c r="AA14" i="4"/>
  <c r="Z14" i="4"/>
  <c r="Y14" i="4"/>
  <c r="X14" i="4"/>
  <c r="W14" i="4"/>
  <c r="V14" i="4"/>
  <c r="U14" i="4"/>
  <c r="T14" i="4"/>
  <c r="S14" i="4"/>
  <c r="R14" i="4"/>
  <c r="Q14" i="4"/>
  <c r="AB13" i="4"/>
  <c r="AA13" i="4"/>
  <c r="Z13" i="4"/>
  <c r="Y13" i="4"/>
  <c r="X13" i="4"/>
  <c r="W13" i="4"/>
  <c r="V13" i="4"/>
  <c r="U13" i="4"/>
  <c r="T13" i="4"/>
  <c r="S13" i="4"/>
  <c r="R13" i="4"/>
  <c r="Q13" i="4"/>
  <c r="AE13" i="4" s="1"/>
  <c r="AB12" i="4"/>
  <c r="AB61" i="4" s="1"/>
  <c r="AA12" i="4"/>
  <c r="AA61" i="4" s="1"/>
  <c r="Z12" i="4"/>
  <c r="Z61" i="4" s="1"/>
  <c r="Y12" i="4"/>
  <c r="Y61" i="4" s="1"/>
  <c r="X12" i="4"/>
  <c r="X61" i="4" s="1"/>
  <c r="W12" i="4"/>
  <c r="V12" i="4"/>
  <c r="U12" i="4"/>
  <c r="U61" i="4" s="1"/>
  <c r="T12" i="4"/>
  <c r="T61" i="4" s="1"/>
  <c r="S12" i="4"/>
  <c r="S61" i="4" s="1"/>
  <c r="R12" i="4"/>
  <c r="R61" i="4" s="1"/>
  <c r="Q12" i="4"/>
  <c r="AB11" i="4"/>
  <c r="AA11" i="4"/>
  <c r="Z11" i="4"/>
  <c r="Y11" i="4"/>
  <c r="X11" i="4"/>
  <c r="W11" i="4"/>
  <c r="V11" i="4"/>
  <c r="U11" i="4"/>
  <c r="T11" i="4"/>
  <c r="S11" i="4"/>
  <c r="R11" i="4"/>
  <c r="Q11" i="4"/>
  <c r="AE11" i="4" s="1"/>
  <c r="AB10" i="4"/>
  <c r="AA10" i="4"/>
  <c r="Z10" i="4"/>
  <c r="Y10" i="4"/>
  <c r="X10" i="4"/>
  <c r="W10" i="4"/>
  <c r="V10" i="4"/>
  <c r="U10" i="4"/>
  <c r="T10" i="4"/>
  <c r="S10" i="4"/>
  <c r="R10" i="4"/>
  <c r="Q10" i="4"/>
  <c r="AB9" i="4"/>
  <c r="AA9" i="4"/>
  <c r="Z9" i="4"/>
  <c r="Y9" i="4"/>
  <c r="X9" i="4"/>
  <c r="W9" i="4"/>
  <c r="V9" i="4"/>
  <c r="U9" i="4"/>
  <c r="T9" i="4"/>
  <c r="S9" i="4"/>
  <c r="R9" i="4"/>
  <c r="Q9" i="4"/>
  <c r="AB8" i="4"/>
  <c r="AA8" i="4"/>
  <c r="Z8" i="4"/>
  <c r="Y8" i="4"/>
  <c r="X8" i="4"/>
  <c r="W8" i="4"/>
  <c r="AF8" i="4" s="1"/>
  <c r="V8" i="4"/>
  <c r="U8" i="4"/>
  <c r="T8" i="4"/>
  <c r="S8" i="4"/>
  <c r="R8" i="4"/>
  <c r="Q8" i="4"/>
  <c r="AB7" i="4"/>
  <c r="AA7" i="4"/>
  <c r="Z7" i="4"/>
  <c r="Y7" i="4"/>
  <c r="X7" i="4"/>
  <c r="W7" i="4"/>
  <c r="V7" i="4"/>
  <c r="U7" i="4"/>
  <c r="T7" i="4"/>
  <c r="S7" i="4"/>
  <c r="R7" i="4"/>
  <c r="Q7" i="4"/>
  <c r="AB6" i="4"/>
  <c r="AA6" i="4"/>
  <c r="Z6" i="4"/>
  <c r="Y6" i="4"/>
  <c r="X6" i="4"/>
  <c r="W6" i="4"/>
  <c r="V6" i="4"/>
  <c r="U6" i="4"/>
  <c r="T6" i="4"/>
  <c r="S6" i="4"/>
  <c r="R6" i="4"/>
  <c r="Q6" i="4"/>
  <c r="AB5" i="4"/>
  <c r="AA5" i="4"/>
  <c r="Z5" i="4"/>
  <c r="Y5" i="4"/>
  <c r="X5" i="4"/>
  <c r="W5" i="4"/>
  <c r="V5" i="4"/>
  <c r="U5" i="4"/>
  <c r="T5" i="4"/>
  <c r="S5" i="4"/>
  <c r="R5" i="4"/>
  <c r="Q5" i="4"/>
  <c r="AE5" i="4" s="1"/>
  <c r="AB4" i="4"/>
  <c r="AB59" i="4" s="1"/>
  <c r="AA4" i="4"/>
  <c r="Z4" i="4"/>
  <c r="Y4" i="4"/>
  <c r="X4" i="4"/>
  <c r="W4" i="4"/>
  <c r="V4" i="4"/>
  <c r="U4" i="4"/>
  <c r="T4" i="4"/>
  <c r="T59" i="4" s="1"/>
  <c r="S4" i="4"/>
  <c r="R4" i="4"/>
  <c r="Q4" i="4"/>
  <c r="AA3" i="4"/>
  <c r="AA59" i="4" s="1"/>
  <c r="Z3" i="4"/>
  <c r="Z56" i="4" s="1"/>
  <c r="Y3" i="4"/>
  <c r="Y59" i="4" s="1"/>
  <c r="X3" i="4"/>
  <c r="X59" i="4" s="1"/>
  <c r="W3" i="4"/>
  <c r="W59" i="4" s="1"/>
  <c r="V3" i="4"/>
  <c r="V59" i="4" s="1"/>
  <c r="U3" i="4"/>
  <c r="U59" i="4" s="1"/>
  <c r="T3" i="4"/>
  <c r="S3" i="4"/>
  <c r="S59" i="4" s="1"/>
  <c r="R3" i="4"/>
  <c r="R59" i="4" s="1"/>
  <c r="Q3" i="4"/>
  <c r="Q59" i="4" s="1"/>
  <c r="X11" i="2"/>
  <c r="Y11" i="2"/>
  <c r="Z11" i="2"/>
  <c r="AA11" i="2"/>
  <c r="AB11" i="2"/>
  <c r="AC11" i="2"/>
  <c r="X12" i="2"/>
  <c r="Y12" i="2"/>
  <c r="Z12" i="2"/>
  <c r="AA12" i="2"/>
  <c r="AB12" i="2"/>
  <c r="AC12" i="2"/>
  <c r="X13" i="2"/>
  <c r="Y13" i="2"/>
  <c r="Z13" i="2"/>
  <c r="AA13" i="2"/>
  <c r="AB13" i="2"/>
  <c r="AC13" i="2"/>
  <c r="X14" i="2"/>
  <c r="Y14" i="2"/>
  <c r="Z14" i="2"/>
  <c r="AA14" i="2"/>
  <c r="AB14" i="2"/>
  <c r="AC14" i="2"/>
  <c r="X15" i="2"/>
  <c r="Y15" i="2"/>
  <c r="Z15" i="2"/>
  <c r="AA15" i="2"/>
  <c r="AB15" i="2"/>
  <c r="AC15" i="2"/>
  <c r="X16" i="2"/>
  <c r="Y16" i="2"/>
  <c r="Z16" i="2"/>
  <c r="AA16" i="2"/>
  <c r="AB16" i="2"/>
  <c r="AC16" i="2"/>
  <c r="X17" i="2"/>
  <c r="Y17" i="2"/>
  <c r="Z17" i="2"/>
  <c r="AA17" i="2"/>
  <c r="AB17" i="2"/>
  <c r="AC17" i="2"/>
  <c r="X18" i="2"/>
  <c r="Y18" i="2"/>
  <c r="Z18" i="2"/>
  <c r="AA18" i="2"/>
  <c r="AB18" i="2"/>
  <c r="AC18" i="2"/>
  <c r="X19" i="2"/>
  <c r="Y19" i="2"/>
  <c r="Z19" i="2"/>
  <c r="AA19" i="2"/>
  <c r="AB19" i="2"/>
  <c r="AC19" i="2"/>
  <c r="X20" i="2"/>
  <c r="Y20" i="2"/>
  <c r="Z20" i="2"/>
  <c r="AA20" i="2"/>
  <c r="AB20" i="2"/>
  <c r="AC20" i="2"/>
  <c r="X21" i="2"/>
  <c r="Y21" i="2"/>
  <c r="Z21" i="2"/>
  <c r="AA21" i="2"/>
  <c r="AB21" i="2"/>
  <c r="AC21" i="2"/>
  <c r="X22" i="2"/>
  <c r="Y22" i="2"/>
  <c r="Z22" i="2"/>
  <c r="AA22" i="2"/>
  <c r="AB22" i="2"/>
  <c r="AC22" i="2"/>
  <c r="X23" i="2"/>
  <c r="Y23" i="2"/>
  <c r="Z23" i="2"/>
  <c r="AA23" i="2"/>
  <c r="AB23" i="2"/>
  <c r="AC23" i="2"/>
  <c r="X24" i="2"/>
  <c r="Y24" i="2"/>
  <c r="Z24" i="2"/>
  <c r="AA24" i="2"/>
  <c r="AB24" i="2"/>
  <c r="AC24" i="2"/>
  <c r="X25" i="2"/>
  <c r="Y25" i="2"/>
  <c r="Z25" i="2"/>
  <c r="AA25" i="2"/>
  <c r="AB25" i="2"/>
  <c r="AC25" i="2"/>
  <c r="X26" i="2"/>
  <c r="Y26" i="2"/>
  <c r="Z26" i="2"/>
  <c r="AA26" i="2"/>
  <c r="AB26" i="2"/>
  <c r="AC26" i="2"/>
  <c r="X27" i="2"/>
  <c r="Y27" i="2"/>
  <c r="Z27" i="2"/>
  <c r="AA27" i="2"/>
  <c r="AB27" i="2"/>
  <c r="AC27" i="2"/>
  <c r="X28" i="2"/>
  <c r="Y28" i="2"/>
  <c r="Z28" i="2"/>
  <c r="AA28" i="2"/>
  <c r="AB28" i="2"/>
  <c r="AC28" i="2"/>
  <c r="X29" i="2"/>
  <c r="Y29" i="2"/>
  <c r="Z29" i="2"/>
  <c r="AA29" i="2"/>
  <c r="AB29" i="2"/>
  <c r="AC29" i="2"/>
  <c r="X30" i="2"/>
  <c r="Y30" i="2"/>
  <c r="Z30" i="2"/>
  <c r="AA30" i="2"/>
  <c r="AB30" i="2"/>
  <c r="AC30" i="2"/>
  <c r="X31" i="2"/>
  <c r="Y31" i="2"/>
  <c r="Z31" i="2"/>
  <c r="AA31" i="2"/>
  <c r="AB31" i="2"/>
  <c r="AC31" i="2"/>
  <c r="X32" i="2"/>
  <c r="Y32" i="2"/>
  <c r="Z32" i="2"/>
  <c r="AA32" i="2"/>
  <c r="AB32" i="2"/>
  <c r="AC32" i="2"/>
  <c r="X33" i="2"/>
  <c r="Y33" i="2"/>
  <c r="Z33" i="2"/>
  <c r="AA33" i="2"/>
  <c r="AB33" i="2"/>
  <c r="AC33" i="2"/>
  <c r="X34" i="2"/>
  <c r="Y34" i="2"/>
  <c r="Z34" i="2"/>
  <c r="AA34" i="2"/>
  <c r="AB34" i="2"/>
  <c r="AC34" i="2"/>
  <c r="X35" i="2"/>
  <c r="Y35" i="2"/>
  <c r="Z35" i="2"/>
  <c r="AA35" i="2"/>
  <c r="AB35" i="2"/>
  <c r="AC35" i="2"/>
  <c r="X36" i="2"/>
  <c r="Y36" i="2"/>
  <c r="Z36" i="2"/>
  <c r="AA36" i="2"/>
  <c r="AB36" i="2"/>
  <c r="AC36" i="2"/>
  <c r="X37" i="2"/>
  <c r="Y37" i="2"/>
  <c r="Z37" i="2"/>
  <c r="AA37" i="2"/>
  <c r="AB37" i="2"/>
  <c r="AC37" i="2"/>
  <c r="X38" i="2"/>
  <c r="Y38" i="2"/>
  <c r="Z38" i="2"/>
  <c r="AA38" i="2"/>
  <c r="AB38" i="2"/>
  <c r="AC38" i="2"/>
  <c r="X39" i="2"/>
  <c r="Y39" i="2"/>
  <c r="Z39" i="2"/>
  <c r="AA39" i="2"/>
  <c r="AB39" i="2"/>
  <c r="AC39" i="2"/>
  <c r="X40" i="2"/>
  <c r="Y40" i="2"/>
  <c r="Z40" i="2"/>
  <c r="AA40" i="2"/>
  <c r="AB40" i="2"/>
  <c r="AC40" i="2"/>
  <c r="X41" i="2"/>
  <c r="Y41" i="2"/>
  <c r="Z41" i="2"/>
  <c r="AA41" i="2"/>
  <c r="AB41" i="2"/>
  <c r="AC41" i="2"/>
  <c r="X42" i="2"/>
  <c r="Y42" i="2"/>
  <c r="Z42" i="2"/>
  <c r="AA42" i="2"/>
  <c r="AB42" i="2"/>
  <c r="AC42" i="2"/>
  <c r="X43" i="2"/>
  <c r="Y43" i="2"/>
  <c r="Z43" i="2"/>
  <c r="AA43" i="2"/>
  <c r="AB43" i="2"/>
  <c r="AC43" i="2"/>
  <c r="X44" i="2"/>
  <c r="Y44" i="2"/>
  <c r="Z44" i="2"/>
  <c r="AA44" i="2"/>
  <c r="AB44" i="2"/>
  <c r="AC44" i="2"/>
  <c r="X45" i="2"/>
  <c r="Y45" i="2"/>
  <c r="Z45" i="2"/>
  <c r="AA45" i="2"/>
  <c r="AB45" i="2"/>
  <c r="AC45" i="2"/>
  <c r="X46" i="2"/>
  <c r="Y46" i="2"/>
  <c r="Z46" i="2"/>
  <c r="AA46" i="2"/>
  <c r="AB46" i="2"/>
  <c r="AC46" i="2"/>
  <c r="X47" i="2"/>
  <c r="Y47" i="2"/>
  <c r="Z47" i="2"/>
  <c r="AA47" i="2"/>
  <c r="AB47" i="2"/>
  <c r="AC47" i="2"/>
  <c r="X48" i="2"/>
  <c r="Y48" i="2"/>
  <c r="Z48" i="2"/>
  <c r="AA48" i="2"/>
  <c r="AB48" i="2"/>
  <c r="AC48" i="2"/>
  <c r="X49" i="2"/>
  <c r="Y49" i="2"/>
  <c r="Z49" i="2"/>
  <c r="AA49" i="2"/>
  <c r="AB49" i="2"/>
  <c r="AC49" i="2"/>
  <c r="X50" i="2"/>
  <c r="Y50" i="2"/>
  <c r="Z50" i="2"/>
  <c r="AA50" i="2"/>
  <c r="AB50" i="2"/>
  <c r="AC50" i="2"/>
  <c r="X51" i="2"/>
  <c r="Y51" i="2"/>
  <c r="Z51" i="2"/>
  <c r="AA51" i="2"/>
  <c r="AB51" i="2"/>
  <c r="AC51" i="2"/>
  <c r="X52" i="2"/>
  <c r="Y52" i="2"/>
  <c r="Z52" i="2"/>
  <c r="AA52" i="2"/>
  <c r="AB52" i="2"/>
  <c r="AC52" i="2"/>
  <c r="X53" i="2"/>
  <c r="Y53" i="2"/>
  <c r="Z53" i="2"/>
  <c r="AA53" i="2"/>
  <c r="AB53" i="2"/>
  <c r="AC53" i="2"/>
  <c r="X54" i="2"/>
  <c r="Y54" i="2"/>
  <c r="Z54" i="2"/>
  <c r="AA54" i="2"/>
  <c r="AB54" i="2"/>
  <c r="AC54" i="2"/>
  <c r="X55" i="2"/>
  <c r="Y55" i="2"/>
  <c r="Z55" i="2"/>
  <c r="AA55" i="2"/>
  <c r="AB55" i="2"/>
  <c r="AC55" i="2"/>
  <c r="X56" i="2"/>
  <c r="Y56" i="2"/>
  <c r="Z56" i="2"/>
  <c r="AA56" i="2"/>
  <c r="AB56" i="2"/>
  <c r="AC56" i="2"/>
  <c r="X57" i="2"/>
  <c r="Y57" i="2"/>
  <c r="Z57" i="2"/>
  <c r="AA57" i="2"/>
  <c r="AB57" i="2"/>
  <c r="AC57" i="2"/>
  <c r="X58" i="2"/>
  <c r="Y58" i="2"/>
  <c r="Z58" i="2"/>
  <c r="AA58" i="2"/>
  <c r="AB58" i="2"/>
  <c r="AC58" i="2"/>
  <c r="X59" i="2"/>
  <c r="Y59" i="2"/>
  <c r="Z59" i="2"/>
  <c r="AA59" i="2"/>
  <c r="AB59" i="2"/>
  <c r="AC59" i="2"/>
  <c r="X60" i="2"/>
  <c r="Y60" i="2"/>
  <c r="Z60" i="2"/>
  <c r="AA60" i="2"/>
  <c r="AB60" i="2"/>
  <c r="AC60" i="2"/>
  <c r="X61" i="2"/>
  <c r="Y61" i="2"/>
  <c r="Z61" i="2"/>
  <c r="AA61" i="2"/>
  <c r="AB61" i="2"/>
  <c r="AC61" i="2"/>
  <c r="X62" i="2"/>
  <c r="Y62" i="2"/>
  <c r="Z62" i="2"/>
  <c r="AA62" i="2"/>
  <c r="AB62" i="2"/>
  <c r="AC62" i="2"/>
  <c r="R11" i="2"/>
  <c r="S11" i="2"/>
  <c r="T11" i="2"/>
  <c r="U11" i="2"/>
  <c r="V11" i="2"/>
  <c r="W11" i="2"/>
  <c r="R12" i="2"/>
  <c r="S12" i="2"/>
  <c r="T12" i="2"/>
  <c r="U12" i="2"/>
  <c r="V12" i="2"/>
  <c r="W12" i="2"/>
  <c r="R13" i="2"/>
  <c r="S13" i="2"/>
  <c r="T13" i="2"/>
  <c r="U13" i="2"/>
  <c r="V13" i="2"/>
  <c r="W13" i="2"/>
  <c r="R14" i="2"/>
  <c r="S14" i="2"/>
  <c r="T14" i="2"/>
  <c r="U14" i="2"/>
  <c r="V14" i="2"/>
  <c r="W14" i="2"/>
  <c r="R15" i="2"/>
  <c r="S15" i="2"/>
  <c r="T15" i="2"/>
  <c r="U15" i="2"/>
  <c r="V15" i="2"/>
  <c r="W15" i="2"/>
  <c r="R16" i="2"/>
  <c r="S16" i="2"/>
  <c r="T16" i="2"/>
  <c r="U16" i="2"/>
  <c r="V16" i="2"/>
  <c r="W16" i="2"/>
  <c r="R17" i="2"/>
  <c r="S17" i="2"/>
  <c r="T17" i="2"/>
  <c r="U17" i="2"/>
  <c r="V17" i="2"/>
  <c r="W17" i="2"/>
  <c r="R18" i="2"/>
  <c r="S18" i="2"/>
  <c r="T18" i="2"/>
  <c r="U18" i="2"/>
  <c r="V18" i="2"/>
  <c r="W18" i="2"/>
  <c r="R19" i="2"/>
  <c r="S19" i="2"/>
  <c r="T19" i="2"/>
  <c r="U19" i="2"/>
  <c r="V19" i="2"/>
  <c r="W19" i="2"/>
  <c r="R20" i="2"/>
  <c r="S20" i="2"/>
  <c r="T20" i="2"/>
  <c r="U20" i="2"/>
  <c r="V20" i="2"/>
  <c r="W20" i="2"/>
  <c r="R21" i="2"/>
  <c r="S21" i="2"/>
  <c r="T21" i="2"/>
  <c r="U21" i="2"/>
  <c r="V21" i="2"/>
  <c r="W21" i="2"/>
  <c r="R22" i="2"/>
  <c r="S22" i="2"/>
  <c r="T22" i="2"/>
  <c r="U22" i="2"/>
  <c r="V22" i="2"/>
  <c r="W22" i="2"/>
  <c r="R23" i="2"/>
  <c r="S23" i="2"/>
  <c r="T23" i="2"/>
  <c r="U23" i="2"/>
  <c r="V23" i="2"/>
  <c r="W23" i="2"/>
  <c r="R24" i="2"/>
  <c r="S24" i="2"/>
  <c r="T24" i="2"/>
  <c r="U24" i="2"/>
  <c r="V24" i="2"/>
  <c r="W24" i="2"/>
  <c r="R25" i="2"/>
  <c r="S25" i="2"/>
  <c r="T25" i="2"/>
  <c r="U25" i="2"/>
  <c r="V25" i="2"/>
  <c r="W25" i="2"/>
  <c r="R26" i="2"/>
  <c r="S26" i="2"/>
  <c r="T26" i="2"/>
  <c r="U26" i="2"/>
  <c r="V26" i="2"/>
  <c r="W26" i="2"/>
  <c r="R27" i="2"/>
  <c r="S27" i="2"/>
  <c r="T27" i="2"/>
  <c r="U27" i="2"/>
  <c r="V27" i="2"/>
  <c r="W27" i="2"/>
  <c r="R28" i="2"/>
  <c r="S28" i="2"/>
  <c r="T28" i="2"/>
  <c r="U28" i="2"/>
  <c r="V28" i="2"/>
  <c r="W28" i="2"/>
  <c r="R29" i="2"/>
  <c r="S29" i="2"/>
  <c r="T29" i="2"/>
  <c r="U29" i="2"/>
  <c r="V29" i="2"/>
  <c r="W29" i="2"/>
  <c r="R30" i="2"/>
  <c r="S30" i="2"/>
  <c r="T30" i="2"/>
  <c r="U30" i="2"/>
  <c r="V30" i="2"/>
  <c r="W30" i="2"/>
  <c r="R31" i="2"/>
  <c r="S31" i="2"/>
  <c r="T31" i="2"/>
  <c r="U31" i="2"/>
  <c r="V31" i="2"/>
  <c r="W31" i="2"/>
  <c r="R32" i="2"/>
  <c r="S32" i="2"/>
  <c r="T32" i="2"/>
  <c r="U32" i="2"/>
  <c r="V32" i="2"/>
  <c r="W32" i="2"/>
  <c r="R33" i="2"/>
  <c r="S33" i="2"/>
  <c r="T33" i="2"/>
  <c r="U33" i="2"/>
  <c r="V33" i="2"/>
  <c r="W33" i="2"/>
  <c r="R34" i="2"/>
  <c r="S34" i="2"/>
  <c r="T34" i="2"/>
  <c r="U34" i="2"/>
  <c r="V34" i="2"/>
  <c r="W34" i="2"/>
  <c r="R35" i="2"/>
  <c r="S35" i="2"/>
  <c r="T35" i="2"/>
  <c r="U35" i="2"/>
  <c r="V35" i="2"/>
  <c r="W35" i="2"/>
  <c r="R36" i="2"/>
  <c r="S36" i="2"/>
  <c r="T36" i="2"/>
  <c r="U36" i="2"/>
  <c r="V36" i="2"/>
  <c r="W36" i="2"/>
  <c r="R37" i="2"/>
  <c r="S37" i="2"/>
  <c r="T37" i="2"/>
  <c r="U37" i="2"/>
  <c r="V37" i="2"/>
  <c r="W37" i="2"/>
  <c r="R38" i="2"/>
  <c r="S38" i="2"/>
  <c r="T38" i="2"/>
  <c r="U38" i="2"/>
  <c r="V38" i="2"/>
  <c r="W38" i="2"/>
  <c r="R39" i="2"/>
  <c r="S39" i="2"/>
  <c r="T39" i="2"/>
  <c r="U39" i="2"/>
  <c r="V39" i="2"/>
  <c r="W39" i="2"/>
  <c r="R40" i="2"/>
  <c r="S40" i="2"/>
  <c r="T40" i="2"/>
  <c r="U40" i="2"/>
  <c r="V40" i="2"/>
  <c r="W40" i="2"/>
  <c r="R41" i="2"/>
  <c r="S41" i="2"/>
  <c r="T41" i="2"/>
  <c r="U41" i="2"/>
  <c r="V41" i="2"/>
  <c r="W41" i="2"/>
  <c r="R42" i="2"/>
  <c r="S42" i="2"/>
  <c r="T42" i="2"/>
  <c r="U42" i="2"/>
  <c r="V42" i="2"/>
  <c r="W42" i="2"/>
  <c r="R43" i="2"/>
  <c r="S43" i="2"/>
  <c r="T43" i="2"/>
  <c r="U43" i="2"/>
  <c r="V43" i="2"/>
  <c r="W43" i="2"/>
  <c r="R44" i="2"/>
  <c r="S44" i="2"/>
  <c r="T44" i="2"/>
  <c r="U44" i="2"/>
  <c r="V44" i="2"/>
  <c r="W44" i="2"/>
  <c r="R45" i="2"/>
  <c r="S45" i="2"/>
  <c r="T45" i="2"/>
  <c r="U45" i="2"/>
  <c r="V45" i="2"/>
  <c r="W45" i="2"/>
  <c r="R46" i="2"/>
  <c r="S46" i="2"/>
  <c r="T46" i="2"/>
  <c r="U46" i="2"/>
  <c r="V46" i="2"/>
  <c r="W46" i="2"/>
  <c r="R47" i="2"/>
  <c r="S47" i="2"/>
  <c r="T47" i="2"/>
  <c r="U47" i="2"/>
  <c r="V47" i="2"/>
  <c r="W47" i="2"/>
  <c r="R48" i="2"/>
  <c r="S48" i="2"/>
  <c r="T48" i="2"/>
  <c r="U48" i="2"/>
  <c r="V48" i="2"/>
  <c r="W48" i="2"/>
  <c r="R49" i="2"/>
  <c r="S49" i="2"/>
  <c r="T49" i="2"/>
  <c r="U49" i="2"/>
  <c r="V49" i="2"/>
  <c r="W49" i="2"/>
  <c r="R50" i="2"/>
  <c r="S50" i="2"/>
  <c r="T50" i="2"/>
  <c r="U50" i="2"/>
  <c r="V50" i="2"/>
  <c r="W50" i="2"/>
  <c r="R51" i="2"/>
  <c r="S51" i="2"/>
  <c r="T51" i="2"/>
  <c r="U51" i="2"/>
  <c r="V51" i="2"/>
  <c r="W51" i="2"/>
  <c r="R52" i="2"/>
  <c r="S52" i="2"/>
  <c r="T52" i="2"/>
  <c r="U52" i="2"/>
  <c r="V52" i="2"/>
  <c r="W52" i="2"/>
  <c r="R53" i="2"/>
  <c r="S53" i="2"/>
  <c r="T53" i="2"/>
  <c r="U53" i="2"/>
  <c r="V53" i="2"/>
  <c r="W53" i="2"/>
  <c r="R54" i="2"/>
  <c r="S54" i="2"/>
  <c r="T54" i="2"/>
  <c r="U54" i="2"/>
  <c r="V54" i="2"/>
  <c r="W54" i="2"/>
  <c r="R55" i="2"/>
  <c r="S55" i="2"/>
  <c r="T55" i="2"/>
  <c r="U55" i="2"/>
  <c r="V55" i="2"/>
  <c r="W55" i="2"/>
  <c r="R56" i="2"/>
  <c r="S56" i="2"/>
  <c r="T56" i="2"/>
  <c r="U56" i="2"/>
  <c r="V56" i="2"/>
  <c r="W56" i="2"/>
  <c r="R57" i="2"/>
  <c r="S57" i="2"/>
  <c r="T57" i="2"/>
  <c r="U57" i="2"/>
  <c r="V57" i="2"/>
  <c r="W57" i="2"/>
  <c r="R58" i="2"/>
  <c r="S58" i="2"/>
  <c r="T58" i="2"/>
  <c r="U58" i="2"/>
  <c r="V58" i="2"/>
  <c r="W58" i="2"/>
  <c r="R59" i="2"/>
  <c r="S59" i="2"/>
  <c r="T59" i="2"/>
  <c r="U59" i="2"/>
  <c r="V59" i="2"/>
  <c r="W59" i="2"/>
  <c r="R60" i="2"/>
  <c r="S60" i="2"/>
  <c r="T60" i="2"/>
  <c r="U60" i="2"/>
  <c r="V60" i="2"/>
  <c r="W60" i="2"/>
  <c r="R61" i="2"/>
  <c r="S61" i="2"/>
  <c r="T61" i="2"/>
  <c r="U61" i="2"/>
  <c r="V61" i="2"/>
  <c r="W61" i="2"/>
  <c r="R62" i="2"/>
  <c r="S62" i="2"/>
  <c r="T62" i="2"/>
  <c r="U62" i="2"/>
  <c r="V62" i="2"/>
  <c r="W62" i="2"/>
  <c r="Y10" i="2"/>
  <c r="Z10" i="2"/>
  <c r="AA10" i="2"/>
  <c r="AB10" i="2"/>
  <c r="AC10" i="2"/>
  <c r="X10" i="2"/>
  <c r="S10" i="2"/>
  <c r="T10" i="2"/>
  <c r="U10" i="2"/>
  <c r="V10" i="2"/>
  <c r="W10" i="2"/>
  <c r="R10" i="2"/>
  <c r="AF11" i="4" l="1"/>
  <c r="AF25" i="4"/>
  <c r="AF31" i="4"/>
  <c r="AH31" i="4" s="1"/>
  <c r="AF35" i="4"/>
  <c r="AF47" i="4"/>
  <c r="AH47" i="4" s="1"/>
  <c r="AF51" i="4"/>
  <c r="AH51" i="4" s="1"/>
  <c r="AD59" i="4"/>
  <c r="Q64" i="4"/>
  <c r="AC66" i="4"/>
  <c r="AG35" i="4"/>
  <c r="AG47" i="4"/>
  <c r="R56" i="4"/>
  <c r="AE6" i="4"/>
  <c r="AE7" i="4"/>
  <c r="AG7" i="4" s="1"/>
  <c r="AF7" i="4"/>
  <c r="AE10" i="4"/>
  <c r="AF17" i="4"/>
  <c r="AH17" i="4" s="1"/>
  <c r="AE18" i="4"/>
  <c r="AG18" i="4" s="1"/>
  <c r="AE19" i="4"/>
  <c r="AE20" i="4"/>
  <c r="AG20" i="4" s="1"/>
  <c r="AF27" i="4"/>
  <c r="AH27" i="4" s="1"/>
  <c r="AE28" i="4"/>
  <c r="AE29" i="4"/>
  <c r="AE30" i="4"/>
  <c r="AG30" i="4" s="1"/>
  <c r="AE38" i="4"/>
  <c r="AG38" i="4" s="1"/>
  <c r="AE39" i="4"/>
  <c r="AF39" i="4"/>
  <c r="AH39" i="4" s="1"/>
  <c r="AE42" i="4"/>
  <c r="AG42" i="4" s="1"/>
  <c r="AF49" i="4"/>
  <c r="AE50" i="4"/>
  <c r="AG50" i="4" s="1"/>
  <c r="AE51" i="4"/>
  <c r="AE52" i="4"/>
  <c r="AI11" i="4"/>
  <c r="AD56" i="4"/>
  <c r="AI48" i="4"/>
  <c r="AI24" i="4"/>
  <c r="AF15" i="4"/>
  <c r="AF23" i="4"/>
  <c r="AF43" i="4"/>
  <c r="AG43" i="4" s="1"/>
  <c r="AF6" i="4"/>
  <c r="AH6" i="4" s="1"/>
  <c r="AF12" i="4"/>
  <c r="AF14" i="4"/>
  <c r="AH14" i="4" s="1"/>
  <c r="AF16" i="4"/>
  <c r="AF20" i="4"/>
  <c r="AF22" i="4"/>
  <c r="AH22" i="4" s="1"/>
  <c r="AF24" i="4"/>
  <c r="AF26" i="4"/>
  <c r="AF28" i="4"/>
  <c r="AH28" i="4" s="1"/>
  <c r="AF32" i="4"/>
  <c r="AF34" i="4"/>
  <c r="AF36" i="4"/>
  <c r="AH36" i="4" s="1"/>
  <c r="AF38" i="4"/>
  <c r="AF42" i="4"/>
  <c r="AF44" i="4"/>
  <c r="AF46" i="4"/>
  <c r="AF48" i="4"/>
  <c r="AF52" i="4"/>
  <c r="AH52" i="4" s="1"/>
  <c r="AF54" i="4"/>
  <c r="AH54" i="4" s="1"/>
  <c r="AI50" i="4"/>
  <c r="AI42" i="4"/>
  <c r="AI34" i="4"/>
  <c r="AI26" i="4"/>
  <c r="AI18" i="4"/>
  <c r="AI10" i="4"/>
  <c r="AF55" i="4"/>
  <c r="AG55" i="4" s="1"/>
  <c r="AI41" i="4"/>
  <c r="AI33" i="4"/>
  <c r="AI25" i="4"/>
  <c r="AI17" i="4"/>
  <c r="AI54" i="4"/>
  <c r="AI46" i="4"/>
  <c r="AI38" i="4"/>
  <c r="AI30" i="4"/>
  <c r="AI22" i="4"/>
  <c r="AI14" i="4"/>
  <c r="AI6" i="4"/>
  <c r="AF9" i="4"/>
  <c r="AF19" i="4"/>
  <c r="AF33" i="4"/>
  <c r="AE12" i="4"/>
  <c r="AE22" i="4"/>
  <c r="AG22" i="4" s="1"/>
  <c r="AE34" i="4"/>
  <c r="AG34" i="4" s="1"/>
  <c r="AE44" i="4"/>
  <c r="AG44" i="4" s="1"/>
  <c r="AE54" i="4"/>
  <c r="AI53" i="4"/>
  <c r="AI45" i="4"/>
  <c r="AI37" i="4"/>
  <c r="AI29" i="4"/>
  <c r="AI21" i="4"/>
  <c r="AI13" i="4"/>
  <c r="AI5" i="4"/>
  <c r="AI49" i="4"/>
  <c r="Z59" i="4"/>
  <c r="Q61" i="4"/>
  <c r="Y66" i="4"/>
  <c r="Q66" i="4"/>
  <c r="AG15" i="4"/>
  <c r="AG23" i="4"/>
  <c r="AF10" i="4"/>
  <c r="AH10" i="4" s="1"/>
  <c r="AE4" i="4"/>
  <c r="AE14" i="4"/>
  <c r="AE26" i="4"/>
  <c r="AE36" i="4"/>
  <c r="AE46" i="4"/>
  <c r="AI55" i="4"/>
  <c r="AI47" i="4"/>
  <c r="AI39" i="4"/>
  <c r="AI31" i="4"/>
  <c r="AI15" i="4"/>
  <c r="AG11" i="4"/>
  <c r="AG27" i="4"/>
  <c r="AF41" i="4"/>
  <c r="W61" i="4"/>
  <c r="AH16" i="4"/>
  <c r="AG46" i="4"/>
  <c r="AG26" i="4"/>
  <c r="AH11" i="4"/>
  <c r="AH15" i="4"/>
  <c r="AH23" i="4"/>
  <c r="AH35" i="4"/>
  <c r="AH43" i="4"/>
  <c r="AH55" i="4"/>
  <c r="AH30" i="4"/>
  <c r="AG19" i="4"/>
  <c r="AG29" i="4"/>
  <c r="AH18" i="4"/>
  <c r="AH48" i="4"/>
  <c r="Y56" i="4"/>
  <c r="AF4" i="4"/>
  <c r="AH4" i="4" s="1"/>
  <c r="W56" i="4"/>
  <c r="AE8" i="4"/>
  <c r="AG8" i="4" s="1"/>
  <c r="AE16" i="4"/>
  <c r="AE24" i="4"/>
  <c r="AG24" i="4" s="1"/>
  <c r="AE32" i="4"/>
  <c r="AG32" i="4" s="1"/>
  <c r="AE40" i="4"/>
  <c r="AG40" i="4" s="1"/>
  <c r="AE48" i="4"/>
  <c r="AG48" i="4" s="1"/>
  <c r="AI16" i="4"/>
  <c r="AI8" i="4"/>
  <c r="AB56" i="4"/>
  <c r="U56" i="4"/>
  <c r="AI3" i="4"/>
  <c r="V56" i="4"/>
  <c r="AF5" i="4"/>
  <c r="AH5" i="4" s="1"/>
  <c r="AF13" i="4"/>
  <c r="AH13" i="4" s="1"/>
  <c r="AF21" i="4"/>
  <c r="AF29" i="4"/>
  <c r="AH29" i="4" s="1"/>
  <c r="AF37" i="4"/>
  <c r="AH37" i="4" s="1"/>
  <c r="AF45" i="4"/>
  <c r="AH45" i="4" s="1"/>
  <c r="AF53" i="4"/>
  <c r="AH53" i="4" s="1"/>
  <c r="AC56" i="4"/>
  <c r="AH40" i="4"/>
  <c r="AF3" i="4"/>
  <c r="T56" i="4"/>
  <c r="AE3" i="4"/>
  <c r="Q56" i="4"/>
  <c r="AA56" i="4"/>
  <c r="X56" i="4"/>
  <c r="AE9" i="4"/>
  <c r="AG9" i="4" s="1"/>
  <c r="AE17" i="4"/>
  <c r="AE25" i="4"/>
  <c r="AG25" i="4" s="1"/>
  <c r="AE33" i="4"/>
  <c r="AG33" i="4" s="1"/>
  <c r="AE41" i="4"/>
  <c r="AE49" i="4"/>
  <c r="AH49" i="4" s="1"/>
  <c r="AI52" i="4"/>
  <c r="AI44" i="4"/>
  <c r="AI36" i="4"/>
  <c r="AI28" i="4"/>
  <c r="AI20" i="4"/>
  <c r="AI12" i="4"/>
  <c r="AI4" i="4"/>
  <c r="S56" i="4"/>
  <c r="AH32" i="4" l="1"/>
  <c r="AE66" i="4"/>
  <c r="AH34" i="4"/>
  <c r="AG16" i="4"/>
  <c r="AH24" i="4"/>
  <c r="AH12" i="4"/>
  <c r="AF61" i="4"/>
  <c r="AG39" i="4"/>
  <c r="AF66" i="4"/>
  <c r="AG12" i="4"/>
  <c r="AE61" i="4"/>
  <c r="AG41" i="4"/>
  <c r="AE59" i="4"/>
  <c r="AH7" i="4"/>
  <c r="AG36" i="4"/>
  <c r="AG66" i="4" s="1"/>
  <c r="AH46" i="4"/>
  <c r="AH26" i="4"/>
  <c r="AG52" i="4"/>
  <c r="AG53" i="4"/>
  <c r="AG49" i="4"/>
  <c r="AE69" i="4"/>
  <c r="AG10" i="4"/>
  <c r="AH9" i="4"/>
  <c r="AH21" i="4"/>
  <c r="AF64" i="4"/>
  <c r="AG6" i="4"/>
  <c r="AG37" i="4"/>
  <c r="AH19" i="4"/>
  <c r="AH44" i="4"/>
  <c r="AG31" i="4"/>
  <c r="AG51" i="4"/>
  <c r="AF59" i="4"/>
  <c r="AG14" i="4"/>
  <c r="AH42" i="4"/>
  <c r="AG28" i="4"/>
  <c r="AE64" i="4"/>
  <c r="AG17" i="4"/>
  <c r="AG54" i="4"/>
  <c r="AH38" i="4"/>
  <c r="AH20" i="4"/>
  <c r="AF69" i="4"/>
  <c r="AH50" i="4"/>
  <c r="AH8" i="4"/>
  <c r="AG5" i="4"/>
  <c r="AG13" i="4"/>
  <c r="AG45" i="4"/>
  <c r="AE56" i="4"/>
  <c r="AG3" i="4"/>
  <c r="AH25" i="4"/>
  <c r="AH3" i="4"/>
  <c r="AF56" i="4"/>
  <c r="AG21" i="4"/>
  <c r="AH33" i="4"/>
  <c r="AG4" i="4"/>
  <c r="AH41" i="4"/>
  <c r="AG69" i="4" l="1"/>
  <c r="AG61" i="4"/>
  <c r="AG64" i="4"/>
  <c r="AG59" i="4"/>
  <c r="AG56" i="4"/>
</calcChain>
</file>

<file path=xl/sharedStrings.xml><?xml version="1.0" encoding="utf-8"?>
<sst xmlns="http://schemas.openxmlformats.org/spreadsheetml/2006/main" count="555" uniqueCount="86">
  <si>
    <t>Task 1 - Data Analysis</t>
  </si>
  <si>
    <t>JPMC GFBM Virtual Experience Program</t>
  </si>
  <si>
    <t>Hypothetical Project Cost - Budget vs. Actual</t>
  </si>
  <si>
    <t>Project</t>
  </si>
  <si>
    <t>Task</t>
  </si>
  <si>
    <t>Resource</t>
  </si>
  <si>
    <t>Month 1</t>
  </si>
  <si>
    <t>Month 2</t>
  </si>
  <si>
    <t>Month 3</t>
  </si>
  <si>
    <t>Month 4</t>
  </si>
  <si>
    <t>Month 5</t>
  </si>
  <si>
    <t>Month 6</t>
  </si>
  <si>
    <t>Project A</t>
  </si>
  <si>
    <t>Project B</t>
  </si>
  <si>
    <t>Project C</t>
  </si>
  <si>
    <t>Project D</t>
  </si>
  <si>
    <t>Project E</t>
  </si>
  <si>
    <t>AT1</t>
  </si>
  <si>
    <t>AT2</t>
  </si>
  <si>
    <t>AT3</t>
  </si>
  <si>
    <t>BT1</t>
  </si>
  <si>
    <t>BT2</t>
  </si>
  <si>
    <t>BT3</t>
  </si>
  <si>
    <t>CT1</t>
  </si>
  <si>
    <t>CT2</t>
  </si>
  <si>
    <t>CT3</t>
  </si>
  <si>
    <t>CT4</t>
  </si>
  <si>
    <t>CT5</t>
  </si>
  <si>
    <t>DT1</t>
  </si>
  <si>
    <t>DT2</t>
  </si>
  <si>
    <t>DT3</t>
  </si>
  <si>
    <t>DT4</t>
  </si>
  <si>
    <t>ET1</t>
  </si>
  <si>
    <t>ET2</t>
  </si>
  <si>
    <t>Gail</t>
  </si>
  <si>
    <t>Budget Hours</t>
  </si>
  <si>
    <t>Actual Hours</t>
  </si>
  <si>
    <t>Budget Cost</t>
  </si>
  <si>
    <t>Actual Cost</t>
  </si>
  <si>
    <t>Tom</t>
  </si>
  <si>
    <t>Jenny</t>
  </si>
  <si>
    <t>Monique</t>
  </si>
  <si>
    <t>Jim</t>
  </si>
  <si>
    <t>Inigo</t>
  </si>
  <si>
    <t>Sondra</t>
  </si>
  <si>
    <t>Larry</t>
  </si>
  <si>
    <t>Sarah</t>
  </si>
  <si>
    <t>Stanley</t>
  </si>
  <si>
    <t>George</t>
  </si>
  <si>
    <t>Crystal</t>
  </si>
  <si>
    <t>Erica</t>
  </si>
  <si>
    <t>Cost $ / hr</t>
  </si>
  <si>
    <t>Column Labels</t>
  </si>
  <si>
    <t>Grand Total</t>
  </si>
  <si>
    <t>Row Labels</t>
  </si>
  <si>
    <t>Total Budgeted Hours</t>
  </si>
  <si>
    <t>Total Actual Hours</t>
  </si>
  <si>
    <t>Total Budgeted Cost</t>
  </si>
  <si>
    <t>Total Actual Cost</t>
  </si>
  <si>
    <t>Cost Variance</t>
  </si>
  <si>
    <t>Sum of Total Actual Cost</t>
  </si>
  <si>
    <t>Sum of Total Actual Hours</t>
  </si>
  <si>
    <t/>
  </si>
  <si>
    <t>Avg of Total Budgeted Hours</t>
  </si>
  <si>
    <t>Avg of Total Actual Hours</t>
  </si>
  <si>
    <t>Sum of Budgeted Cost</t>
  </si>
  <si>
    <t>Sum of Actual Cost</t>
  </si>
  <si>
    <t>Sum of Budgeted Hours</t>
  </si>
  <si>
    <t>Sum ofActual Hours</t>
  </si>
  <si>
    <t>Total Actual Costs</t>
  </si>
  <si>
    <t>Total Budget Costs</t>
  </si>
  <si>
    <t>Sum of Cost Variance</t>
  </si>
  <si>
    <t>CPI</t>
  </si>
  <si>
    <t>Estimated time</t>
  </si>
  <si>
    <t>Avg of Time accuracy</t>
  </si>
  <si>
    <t>Project Cost - Budget to Actual Dashboard</t>
  </si>
  <si>
    <t>Budgeted Hours</t>
  </si>
  <si>
    <t>Month</t>
  </si>
  <si>
    <t>Budgeted Cost</t>
  </si>
  <si>
    <t>Projet B</t>
  </si>
  <si>
    <t>A</t>
  </si>
  <si>
    <t>B</t>
  </si>
  <si>
    <t>C</t>
  </si>
  <si>
    <t>D</t>
  </si>
  <si>
    <t>E</t>
  </si>
  <si>
    <t>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</si>
</sst>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8"/>
      <name val="Calibri"/>
      <family val="2"/>
      <scheme val="minor"/>
    </font>
    <font>
      <b/>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12">
    <xf numFmtId="0" fontId="0" fillId="0" borderId="0" xfId="0"/>
    <xf numFmtId="0" fontId="18" fillId="0" borderId="0" xfId="0" applyFont="1"/>
    <xf numFmtId="164" fontId="0" fillId="0" borderId="0" xfId="42" applyFont="1"/>
    <xf numFmtId="164" fontId="0" fillId="0" borderId="0" xfId="0" applyNumberFormat="1"/>
    <xf numFmtId="0" fontId="16" fillId="0" borderId="0" xfId="0" applyFont="1"/>
    <xf numFmtId="1" fontId="0" fillId="0" borderId="0" xfId="0" applyNumberFormat="1"/>
    <xf numFmtId="0" fontId="0" fillId="0" borderId="0" xfId="0" pivotButton="1"/>
    <xf numFmtId="1" fontId="16" fillId="0" borderId="0" xfId="0" applyNumberFormat="1" applyFont="1"/>
    <xf numFmtId="0" fontId="0" fillId="0" borderId="0" xfId="0" applyAlignment="1">
      <alignment horizontal="left"/>
    </xf>
    <xf numFmtId="0" fontId="0" fillId="0" borderId="0" xfId="0" applyNumberFormat="1"/>
    <xf numFmtId="0" fontId="16" fillId="0" borderId="0" xfId="0" applyNumberFormat="1" applyFont="1"/>
    <xf numFmtId="0" fontId="20"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2" formatCode="0.0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Project</a:t>
            </a:r>
            <a:r>
              <a:rPr lang="en-GB" baseline="0"/>
              <a:t>s Over or Under Budgeted Cost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Total Budget Costs</c:v>
                </c:pt>
              </c:strCache>
            </c:strRef>
          </c:tx>
          <c:spPr>
            <a:solidFill>
              <a:schemeClr val="accent1"/>
            </a:solidFill>
            <a:ln>
              <a:noFill/>
            </a:ln>
            <a:effectLst/>
          </c:spPr>
          <c:invertIfNegative val="0"/>
          <c:cat>
            <c:strRef>
              <c:f>'Pivot Table'!$A$3:$A$8</c:f>
              <c:strCache>
                <c:ptCount val="5"/>
                <c:pt idx="0">
                  <c:v>Project A</c:v>
                </c:pt>
                <c:pt idx="1">
                  <c:v>Project B</c:v>
                </c:pt>
                <c:pt idx="2">
                  <c:v>Project C</c:v>
                </c:pt>
                <c:pt idx="3">
                  <c:v>Project D</c:v>
                </c:pt>
                <c:pt idx="4">
                  <c:v>Project E</c:v>
                </c:pt>
              </c:strCache>
            </c:strRef>
          </c:cat>
          <c:val>
            <c:numRef>
              <c:f>'Pivot Table'!$B$3:$B$8</c:f>
              <c:numCache>
                <c:formatCode>General</c:formatCode>
                <c:ptCount val="5"/>
                <c:pt idx="0">
                  <c:v>153600</c:v>
                </c:pt>
                <c:pt idx="1">
                  <c:v>131100</c:v>
                </c:pt>
                <c:pt idx="2">
                  <c:v>216000</c:v>
                </c:pt>
                <c:pt idx="3">
                  <c:v>291000</c:v>
                </c:pt>
                <c:pt idx="4">
                  <c:v>174480</c:v>
                </c:pt>
              </c:numCache>
            </c:numRef>
          </c:val>
          <c:extLst>
            <c:ext xmlns:c16="http://schemas.microsoft.com/office/drawing/2014/chart" uri="{C3380CC4-5D6E-409C-BE32-E72D297353CC}">
              <c16:uniqueId val="{00000000-F1E3-485C-B5F3-C9CE775BAABD}"/>
            </c:ext>
          </c:extLst>
        </c:ser>
        <c:ser>
          <c:idx val="1"/>
          <c:order val="1"/>
          <c:tx>
            <c:strRef>
              <c:f>'Pivot Table'!$C$2</c:f>
              <c:strCache>
                <c:ptCount val="1"/>
                <c:pt idx="0">
                  <c:v>Total Actual Costs</c:v>
                </c:pt>
              </c:strCache>
            </c:strRef>
          </c:tx>
          <c:spPr>
            <a:solidFill>
              <a:schemeClr val="accent2"/>
            </a:solidFill>
            <a:ln>
              <a:noFill/>
            </a:ln>
            <a:effectLst/>
          </c:spPr>
          <c:invertIfNegative val="0"/>
          <c:cat>
            <c:strRef>
              <c:f>'Pivot Table'!$A$3:$A$8</c:f>
              <c:strCache>
                <c:ptCount val="5"/>
                <c:pt idx="0">
                  <c:v>Project A</c:v>
                </c:pt>
                <c:pt idx="1">
                  <c:v>Project B</c:v>
                </c:pt>
                <c:pt idx="2">
                  <c:v>Project C</c:v>
                </c:pt>
                <c:pt idx="3">
                  <c:v>Project D</c:v>
                </c:pt>
                <c:pt idx="4">
                  <c:v>Project E</c:v>
                </c:pt>
              </c:strCache>
            </c:strRef>
          </c:cat>
          <c:val>
            <c:numRef>
              <c:f>'Pivot Table'!$C$3:$C$8</c:f>
              <c:numCache>
                <c:formatCode>General</c:formatCode>
                <c:ptCount val="5"/>
                <c:pt idx="0">
                  <c:v>168150</c:v>
                </c:pt>
                <c:pt idx="1">
                  <c:v>135600</c:v>
                </c:pt>
                <c:pt idx="2">
                  <c:v>243300</c:v>
                </c:pt>
                <c:pt idx="3">
                  <c:v>271500</c:v>
                </c:pt>
                <c:pt idx="4">
                  <c:v>138240</c:v>
                </c:pt>
              </c:numCache>
            </c:numRef>
          </c:val>
          <c:extLst>
            <c:ext xmlns:c16="http://schemas.microsoft.com/office/drawing/2014/chart" uri="{C3380CC4-5D6E-409C-BE32-E72D297353CC}">
              <c16:uniqueId val="{00000002-F1E3-485C-B5F3-C9CE775BAABD}"/>
            </c:ext>
          </c:extLst>
        </c:ser>
        <c:ser>
          <c:idx val="2"/>
          <c:order val="2"/>
          <c:tx>
            <c:strRef>
              <c:f>'Pivot Table'!$D$2</c:f>
              <c:strCache>
                <c:ptCount val="1"/>
                <c:pt idx="0">
                  <c:v>Sum of Cost Variance</c:v>
                </c:pt>
              </c:strCache>
            </c:strRef>
          </c:tx>
          <c:spPr>
            <a:solidFill>
              <a:srgbClr val="C00000"/>
            </a:solidFill>
            <a:ln>
              <a:noFill/>
            </a:ln>
            <a:effectLst/>
          </c:spPr>
          <c:invertIfNegative val="0"/>
          <c:cat>
            <c:strRef>
              <c:f>'Pivot Table'!$A$3:$A$8</c:f>
              <c:strCache>
                <c:ptCount val="5"/>
                <c:pt idx="0">
                  <c:v>Project A</c:v>
                </c:pt>
                <c:pt idx="1">
                  <c:v>Project B</c:v>
                </c:pt>
                <c:pt idx="2">
                  <c:v>Project C</c:v>
                </c:pt>
                <c:pt idx="3">
                  <c:v>Project D</c:v>
                </c:pt>
                <c:pt idx="4">
                  <c:v>Project E</c:v>
                </c:pt>
              </c:strCache>
            </c:strRef>
          </c:cat>
          <c:val>
            <c:numRef>
              <c:f>'Pivot Table'!$D$3:$D$8</c:f>
              <c:numCache>
                <c:formatCode>General</c:formatCode>
                <c:ptCount val="5"/>
                <c:pt idx="0">
                  <c:v>-14550</c:v>
                </c:pt>
                <c:pt idx="1">
                  <c:v>-4500</c:v>
                </c:pt>
                <c:pt idx="2">
                  <c:v>-27300</c:v>
                </c:pt>
                <c:pt idx="3">
                  <c:v>19500</c:v>
                </c:pt>
                <c:pt idx="4">
                  <c:v>36240</c:v>
                </c:pt>
              </c:numCache>
            </c:numRef>
          </c:val>
          <c:extLst>
            <c:ext xmlns:c16="http://schemas.microsoft.com/office/drawing/2014/chart" uri="{C3380CC4-5D6E-409C-BE32-E72D297353CC}">
              <c16:uniqueId val="{00000003-F1E3-485C-B5F3-C9CE775BAABD}"/>
            </c:ext>
          </c:extLst>
        </c:ser>
        <c:dLbls>
          <c:showLegendKey val="0"/>
          <c:showVal val="0"/>
          <c:showCatName val="0"/>
          <c:showSerName val="0"/>
          <c:showPercent val="0"/>
          <c:showBubbleSize val="0"/>
        </c:dLbls>
        <c:gapWidth val="219"/>
        <c:overlap val="-27"/>
        <c:axId val="64231056"/>
        <c:axId val="64224816"/>
      </c:barChart>
      <c:catAx>
        <c:axId val="6423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Project</a:t>
                </a:r>
              </a:p>
            </c:rich>
          </c:tx>
          <c:layout>
            <c:manualLayout>
              <c:xMode val="edge"/>
              <c:yMode val="edge"/>
              <c:x val="0.45430745545808821"/>
              <c:y val="0.848804340633891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24816"/>
        <c:crosses val="autoZero"/>
        <c:auto val="1"/>
        <c:lblAlgn val="ctr"/>
        <c:lblOffset val="100"/>
        <c:noMultiLvlLbl val="0"/>
      </c:catAx>
      <c:valAx>
        <c:axId val="64224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31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Table!PivotTable14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Personnel Per Budgeted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Table'!$B$42</c:f>
              <c:strCache>
                <c:ptCount val="1"/>
                <c:pt idx="0">
                  <c:v>Avg of Total Budgeted Hours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Table'!$A$43:$A$56</c:f>
              <c:strCache>
                <c:ptCount val="13"/>
                <c:pt idx="0">
                  <c:v>Stanley</c:v>
                </c:pt>
                <c:pt idx="1">
                  <c:v>Gail</c:v>
                </c:pt>
                <c:pt idx="2">
                  <c:v>George</c:v>
                </c:pt>
                <c:pt idx="3">
                  <c:v>Crystal</c:v>
                </c:pt>
                <c:pt idx="4">
                  <c:v>Erica</c:v>
                </c:pt>
                <c:pt idx="5">
                  <c:v>Monique</c:v>
                </c:pt>
                <c:pt idx="6">
                  <c:v>Jenny</c:v>
                </c:pt>
                <c:pt idx="7">
                  <c:v>Jim</c:v>
                </c:pt>
                <c:pt idx="8">
                  <c:v>Tom</c:v>
                </c:pt>
                <c:pt idx="9">
                  <c:v>Sarah</c:v>
                </c:pt>
                <c:pt idx="10">
                  <c:v>Sondra</c:v>
                </c:pt>
                <c:pt idx="11">
                  <c:v>Larry</c:v>
                </c:pt>
                <c:pt idx="12">
                  <c:v>Inigo</c:v>
                </c:pt>
              </c:strCache>
            </c:strRef>
          </c:cat>
          <c:val>
            <c:numRef>
              <c:f>'Pivot Table'!$B$43:$B$56</c:f>
              <c:numCache>
                <c:formatCode>General</c:formatCode>
                <c:ptCount val="13"/>
                <c:pt idx="0">
                  <c:v>60</c:v>
                </c:pt>
                <c:pt idx="1">
                  <c:v>116.25</c:v>
                </c:pt>
                <c:pt idx="2">
                  <c:v>120</c:v>
                </c:pt>
                <c:pt idx="3">
                  <c:v>180</c:v>
                </c:pt>
                <c:pt idx="4">
                  <c:v>240</c:v>
                </c:pt>
                <c:pt idx="5">
                  <c:v>240</c:v>
                </c:pt>
                <c:pt idx="6">
                  <c:v>320</c:v>
                </c:pt>
                <c:pt idx="7">
                  <c:v>480</c:v>
                </c:pt>
                <c:pt idx="8">
                  <c:v>480</c:v>
                </c:pt>
                <c:pt idx="9">
                  <c:v>480</c:v>
                </c:pt>
                <c:pt idx="10">
                  <c:v>960</c:v>
                </c:pt>
                <c:pt idx="11">
                  <c:v>960</c:v>
                </c:pt>
                <c:pt idx="12">
                  <c:v>960</c:v>
                </c:pt>
              </c:numCache>
            </c:numRef>
          </c:val>
          <c:smooth val="0"/>
          <c:extLst>
            <c:ext xmlns:c16="http://schemas.microsoft.com/office/drawing/2014/chart" uri="{C3380CC4-5D6E-409C-BE32-E72D297353CC}">
              <c16:uniqueId val="{00000000-F322-4E93-8192-D888CF8EA534}"/>
            </c:ext>
          </c:extLst>
        </c:ser>
        <c:ser>
          <c:idx val="1"/>
          <c:order val="1"/>
          <c:tx>
            <c:strRef>
              <c:f>'Pivot Table'!$C$42</c:f>
              <c:strCache>
                <c:ptCount val="1"/>
                <c:pt idx="0">
                  <c:v>Avg of Total Actual Hours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Table'!$A$43:$A$56</c:f>
              <c:strCache>
                <c:ptCount val="13"/>
                <c:pt idx="0">
                  <c:v>Stanley</c:v>
                </c:pt>
                <c:pt idx="1">
                  <c:v>Gail</c:v>
                </c:pt>
                <c:pt idx="2">
                  <c:v>George</c:v>
                </c:pt>
                <c:pt idx="3">
                  <c:v>Crystal</c:v>
                </c:pt>
                <c:pt idx="4">
                  <c:v>Erica</c:v>
                </c:pt>
                <c:pt idx="5">
                  <c:v>Monique</c:v>
                </c:pt>
                <c:pt idx="6">
                  <c:v>Jenny</c:v>
                </c:pt>
                <c:pt idx="7">
                  <c:v>Jim</c:v>
                </c:pt>
                <c:pt idx="8">
                  <c:v>Tom</c:v>
                </c:pt>
                <c:pt idx="9">
                  <c:v>Sarah</c:v>
                </c:pt>
                <c:pt idx="10">
                  <c:v>Sondra</c:v>
                </c:pt>
                <c:pt idx="11">
                  <c:v>Larry</c:v>
                </c:pt>
                <c:pt idx="12">
                  <c:v>Inigo</c:v>
                </c:pt>
              </c:strCache>
            </c:strRef>
          </c:cat>
          <c:val>
            <c:numRef>
              <c:f>'Pivot Table'!$C$43:$C$56</c:f>
              <c:numCache>
                <c:formatCode>General</c:formatCode>
                <c:ptCount val="13"/>
                <c:pt idx="0">
                  <c:v>72</c:v>
                </c:pt>
                <c:pt idx="1">
                  <c:v>128.25</c:v>
                </c:pt>
                <c:pt idx="2">
                  <c:v>150</c:v>
                </c:pt>
                <c:pt idx="3">
                  <c:v>180</c:v>
                </c:pt>
                <c:pt idx="4">
                  <c:v>225</c:v>
                </c:pt>
                <c:pt idx="5">
                  <c:v>300</c:v>
                </c:pt>
                <c:pt idx="6">
                  <c:v>340</c:v>
                </c:pt>
                <c:pt idx="7">
                  <c:v>525</c:v>
                </c:pt>
                <c:pt idx="8">
                  <c:v>495</c:v>
                </c:pt>
                <c:pt idx="9">
                  <c:v>510</c:v>
                </c:pt>
                <c:pt idx="10">
                  <c:v>960</c:v>
                </c:pt>
                <c:pt idx="11">
                  <c:v>480</c:v>
                </c:pt>
                <c:pt idx="12">
                  <c:v>660</c:v>
                </c:pt>
              </c:numCache>
            </c:numRef>
          </c:val>
          <c:smooth val="0"/>
          <c:extLst>
            <c:ext xmlns:c16="http://schemas.microsoft.com/office/drawing/2014/chart" uri="{C3380CC4-5D6E-409C-BE32-E72D297353CC}">
              <c16:uniqueId val="{00000001-F322-4E93-8192-D888CF8EA534}"/>
            </c:ext>
          </c:extLst>
        </c:ser>
        <c:dLbls>
          <c:showLegendKey val="0"/>
          <c:showVal val="0"/>
          <c:showCatName val="0"/>
          <c:showSerName val="0"/>
          <c:showPercent val="0"/>
          <c:showBubbleSize val="0"/>
        </c:dLbls>
        <c:marker val="1"/>
        <c:smooth val="0"/>
        <c:axId val="484585824"/>
        <c:axId val="484586240"/>
      </c:lineChart>
      <c:catAx>
        <c:axId val="48458582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586240"/>
        <c:crosses val="autoZero"/>
        <c:auto val="1"/>
        <c:lblAlgn val="ctr"/>
        <c:lblOffset val="100"/>
        <c:noMultiLvlLbl val="0"/>
      </c:catAx>
      <c:valAx>
        <c:axId val="48458624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58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Actual Personnel</a:t>
            </a:r>
            <a:r>
              <a:rPr lang="en-GB" baseline="0"/>
              <a:t> Cost Analysis Per Project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Table'!$B$20:$B$21</c:f>
              <c:strCache>
                <c:ptCount val="1"/>
                <c:pt idx="0">
                  <c:v>Project 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Table'!$A$22:$A$35</c:f>
              <c:strCache>
                <c:ptCount val="13"/>
                <c:pt idx="0">
                  <c:v>Monique</c:v>
                </c:pt>
                <c:pt idx="1">
                  <c:v>Erica</c:v>
                </c:pt>
                <c:pt idx="2">
                  <c:v>Crystal</c:v>
                </c:pt>
                <c:pt idx="3">
                  <c:v>Jim</c:v>
                </c:pt>
                <c:pt idx="4">
                  <c:v>Jenny</c:v>
                </c:pt>
                <c:pt idx="5">
                  <c:v>Sarah</c:v>
                </c:pt>
                <c:pt idx="6">
                  <c:v>George</c:v>
                </c:pt>
                <c:pt idx="7">
                  <c:v>Inigo</c:v>
                </c:pt>
                <c:pt idx="8">
                  <c:v>Gail</c:v>
                </c:pt>
                <c:pt idx="9">
                  <c:v>Stanley</c:v>
                </c:pt>
                <c:pt idx="10">
                  <c:v>Sondra</c:v>
                </c:pt>
                <c:pt idx="11">
                  <c:v>Larry</c:v>
                </c:pt>
                <c:pt idx="12">
                  <c:v>Tom</c:v>
                </c:pt>
              </c:strCache>
            </c:strRef>
          </c:cat>
          <c:val>
            <c:numRef>
              <c:f>'Pivot Table'!$B$22:$B$35</c:f>
              <c:numCache>
                <c:formatCode>General</c:formatCode>
                <c:ptCount val="13"/>
                <c:pt idx="0">
                  <c:v>25200</c:v>
                </c:pt>
                <c:pt idx="3">
                  <c:v>86400</c:v>
                </c:pt>
                <c:pt idx="4">
                  <c:v>18000</c:v>
                </c:pt>
                <c:pt idx="8">
                  <c:v>17100</c:v>
                </c:pt>
                <c:pt idx="9">
                  <c:v>3600</c:v>
                </c:pt>
                <c:pt idx="12">
                  <c:v>17850</c:v>
                </c:pt>
              </c:numCache>
            </c:numRef>
          </c:val>
          <c:smooth val="0"/>
          <c:extLst>
            <c:ext xmlns:c16="http://schemas.microsoft.com/office/drawing/2014/chart" uri="{C3380CC4-5D6E-409C-BE32-E72D297353CC}">
              <c16:uniqueId val="{00000000-2FFE-4313-8A85-8800E33041D4}"/>
            </c:ext>
          </c:extLst>
        </c:ser>
        <c:ser>
          <c:idx val="1"/>
          <c:order val="1"/>
          <c:tx>
            <c:strRef>
              <c:f>'Pivot Table'!$C$20:$C$21</c:f>
              <c:strCache>
                <c:ptCount val="1"/>
                <c:pt idx="0">
                  <c:v>Project B</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Table'!$A$22:$A$35</c:f>
              <c:strCache>
                <c:ptCount val="13"/>
                <c:pt idx="0">
                  <c:v>Monique</c:v>
                </c:pt>
                <c:pt idx="1">
                  <c:v>Erica</c:v>
                </c:pt>
                <c:pt idx="2">
                  <c:v>Crystal</c:v>
                </c:pt>
                <c:pt idx="3">
                  <c:v>Jim</c:v>
                </c:pt>
                <c:pt idx="4">
                  <c:v>Jenny</c:v>
                </c:pt>
                <c:pt idx="5">
                  <c:v>Sarah</c:v>
                </c:pt>
                <c:pt idx="6">
                  <c:v>George</c:v>
                </c:pt>
                <c:pt idx="7">
                  <c:v>Inigo</c:v>
                </c:pt>
                <c:pt idx="8">
                  <c:v>Gail</c:v>
                </c:pt>
                <c:pt idx="9">
                  <c:v>Stanley</c:v>
                </c:pt>
                <c:pt idx="10">
                  <c:v>Sondra</c:v>
                </c:pt>
                <c:pt idx="11">
                  <c:v>Larry</c:v>
                </c:pt>
                <c:pt idx="12">
                  <c:v>Tom</c:v>
                </c:pt>
              </c:strCache>
            </c:strRef>
          </c:cat>
          <c:val>
            <c:numRef>
              <c:f>'Pivot Table'!$C$22:$C$35</c:f>
              <c:numCache>
                <c:formatCode>General</c:formatCode>
                <c:ptCount val="13"/>
                <c:pt idx="0">
                  <c:v>25200</c:v>
                </c:pt>
                <c:pt idx="1">
                  <c:v>63000</c:v>
                </c:pt>
                <c:pt idx="4">
                  <c:v>22500</c:v>
                </c:pt>
                <c:pt idx="6">
                  <c:v>9000</c:v>
                </c:pt>
                <c:pt idx="8">
                  <c:v>8700</c:v>
                </c:pt>
                <c:pt idx="9">
                  <c:v>7200</c:v>
                </c:pt>
              </c:numCache>
            </c:numRef>
          </c:val>
          <c:smooth val="0"/>
          <c:extLst>
            <c:ext xmlns:c16="http://schemas.microsoft.com/office/drawing/2014/chart" uri="{C3380CC4-5D6E-409C-BE32-E72D297353CC}">
              <c16:uniqueId val="{00000039-2FFE-4313-8A85-8800E33041D4}"/>
            </c:ext>
          </c:extLst>
        </c:ser>
        <c:ser>
          <c:idx val="2"/>
          <c:order val="2"/>
          <c:tx>
            <c:strRef>
              <c:f>'Pivot Table'!$D$20:$D$21</c:f>
              <c:strCache>
                <c:ptCount val="1"/>
                <c:pt idx="0">
                  <c:v>Project C</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Table'!$A$22:$A$35</c:f>
              <c:strCache>
                <c:ptCount val="13"/>
                <c:pt idx="0">
                  <c:v>Monique</c:v>
                </c:pt>
                <c:pt idx="1">
                  <c:v>Erica</c:v>
                </c:pt>
                <c:pt idx="2">
                  <c:v>Crystal</c:v>
                </c:pt>
                <c:pt idx="3">
                  <c:v>Jim</c:v>
                </c:pt>
                <c:pt idx="4">
                  <c:v>Jenny</c:v>
                </c:pt>
                <c:pt idx="5">
                  <c:v>Sarah</c:v>
                </c:pt>
                <c:pt idx="6">
                  <c:v>George</c:v>
                </c:pt>
                <c:pt idx="7">
                  <c:v>Inigo</c:v>
                </c:pt>
                <c:pt idx="8">
                  <c:v>Gail</c:v>
                </c:pt>
                <c:pt idx="9">
                  <c:v>Stanley</c:v>
                </c:pt>
                <c:pt idx="10">
                  <c:v>Sondra</c:v>
                </c:pt>
                <c:pt idx="11">
                  <c:v>Larry</c:v>
                </c:pt>
                <c:pt idx="12">
                  <c:v>Tom</c:v>
                </c:pt>
              </c:strCache>
            </c:strRef>
          </c:cat>
          <c:val>
            <c:numRef>
              <c:f>'Pivot Table'!$D$22:$D$35</c:f>
              <c:numCache>
                <c:formatCode>General</c:formatCode>
                <c:ptCount val="13"/>
                <c:pt idx="0">
                  <c:v>75600</c:v>
                </c:pt>
                <c:pt idx="1">
                  <c:v>63000</c:v>
                </c:pt>
                <c:pt idx="4">
                  <c:v>36000</c:v>
                </c:pt>
                <c:pt idx="6">
                  <c:v>27000</c:v>
                </c:pt>
                <c:pt idx="8">
                  <c:v>10500</c:v>
                </c:pt>
                <c:pt idx="9">
                  <c:v>14400</c:v>
                </c:pt>
                <c:pt idx="12">
                  <c:v>16800</c:v>
                </c:pt>
              </c:numCache>
            </c:numRef>
          </c:val>
          <c:smooth val="0"/>
          <c:extLst>
            <c:ext xmlns:c16="http://schemas.microsoft.com/office/drawing/2014/chart" uri="{C3380CC4-5D6E-409C-BE32-E72D297353CC}">
              <c16:uniqueId val="{0000003D-2FFE-4313-8A85-8800E33041D4}"/>
            </c:ext>
          </c:extLst>
        </c:ser>
        <c:ser>
          <c:idx val="3"/>
          <c:order val="3"/>
          <c:tx>
            <c:strRef>
              <c:f>'Pivot Table'!$E$20:$E$21</c:f>
              <c:strCache>
                <c:ptCount val="1"/>
                <c:pt idx="0">
                  <c:v>Project D</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'Pivot Table'!$A$22:$A$35</c:f>
              <c:strCache>
                <c:ptCount val="13"/>
                <c:pt idx="0">
                  <c:v>Monique</c:v>
                </c:pt>
                <c:pt idx="1">
                  <c:v>Erica</c:v>
                </c:pt>
                <c:pt idx="2">
                  <c:v>Crystal</c:v>
                </c:pt>
                <c:pt idx="3">
                  <c:v>Jim</c:v>
                </c:pt>
                <c:pt idx="4">
                  <c:v>Jenny</c:v>
                </c:pt>
                <c:pt idx="5">
                  <c:v>Sarah</c:v>
                </c:pt>
                <c:pt idx="6">
                  <c:v>George</c:v>
                </c:pt>
                <c:pt idx="7">
                  <c:v>Inigo</c:v>
                </c:pt>
                <c:pt idx="8">
                  <c:v>Gail</c:v>
                </c:pt>
                <c:pt idx="9">
                  <c:v>Stanley</c:v>
                </c:pt>
                <c:pt idx="10">
                  <c:v>Sondra</c:v>
                </c:pt>
                <c:pt idx="11">
                  <c:v>Larry</c:v>
                </c:pt>
                <c:pt idx="12">
                  <c:v>Tom</c:v>
                </c:pt>
              </c:strCache>
            </c:strRef>
          </c:cat>
          <c:val>
            <c:numRef>
              <c:f>'Pivot Table'!$E$22:$E$35</c:f>
              <c:numCache>
                <c:formatCode>General</c:formatCode>
                <c:ptCount val="13"/>
                <c:pt idx="2">
                  <c:v>86400</c:v>
                </c:pt>
                <c:pt idx="3">
                  <c:v>8100</c:v>
                </c:pt>
                <c:pt idx="5">
                  <c:v>76500</c:v>
                </c:pt>
                <c:pt idx="6">
                  <c:v>27000</c:v>
                </c:pt>
                <c:pt idx="7">
                  <c:v>62700</c:v>
                </c:pt>
                <c:pt idx="9">
                  <c:v>10800</c:v>
                </c:pt>
              </c:numCache>
            </c:numRef>
          </c:val>
          <c:smooth val="0"/>
          <c:extLst>
            <c:ext xmlns:c16="http://schemas.microsoft.com/office/drawing/2014/chart" uri="{C3380CC4-5D6E-409C-BE32-E72D297353CC}">
              <c16:uniqueId val="{0000003E-2FFE-4313-8A85-8800E33041D4}"/>
            </c:ext>
          </c:extLst>
        </c:ser>
        <c:ser>
          <c:idx val="4"/>
          <c:order val="4"/>
          <c:tx>
            <c:strRef>
              <c:f>'Pivot Table'!$F$20:$F$21</c:f>
              <c:strCache>
                <c:ptCount val="1"/>
                <c:pt idx="0">
                  <c:v>Project E</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'Pivot Table'!$A$22:$A$35</c:f>
              <c:strCache>
                <c:ptCount val="13"/>
                <c:pt idx="0">
                  <c:v>Monique</c:v>
                </c:pt>
                <c:pt idx="1">
                  <c:v>Erica</c:v>
                </c:pt>
                <c:pt idx="2">
                  <c:v>Crystal</c:v>
                </c:pt>
                <c:pt idx="3">
                  <c:v>Jim</c:v>
                </c:pt>
                <c:pt idx="4">
                  <c:v>Jenny</c:v>
                </c:pt>
                <c:pt idx="5">
                  <c:v>Sarah</c:v>
                </c:pt>
                <c:pt idx="6">
                  <c:v>George</c:v>
                </c:pt>
                <c:pt idx="7">
                  <c:v>Inigo</c:v>
                </c:pt>
                <c:pt idx="8">
                  <c:v>Gail</c:v>
                </c:pt>
                <c:pt idx="9">
                  <c:v>Stanley</c:v>
                </c:pt>
                <c:pt idx="10">
                  <c:v>Sondra</c:v>
                </c:pt>
                <c:pt idx="11">
                  <c:v>Larry</c:v>
                </c:pt>
                <c:pt idx="12">
                  <c:v>Tom</c:v>
                </c:pt>
              </c:strCache>
            </c:strRef>
          </c:cat>
          <c:val>
            <c:numRef>
              <c:f>'Pivot Table'!$F$22:$F$35</c:f>
              <c:numCache>
                <c:formatCode>General</c:formatCode>
                <c:ptCount val="13"/>
                <c:pt idx="2">
                  <c:v>21600</c:v>
                </c:pt>
                <c:pt idx="6">
                  <c:v>9000</c:v>
                </c:pt>
                <c:pt idx="8">
                  <c:v>15000</c:v>
                </c:pt>
                <c:pt idx="9">
                  <c:v>7200</c:v>
                </c:pt>
                <c:pt idx="10">
                  <c:v>43200</c:v>
                </c:pt>
                <c:pt idx="11">
                  <c:v>42240</c:v>
                </c:pt>
              </c:numCache>
            </c:numRef>
          </c:val>
          <c:smooth val="0"/>
          <c:extLst>
            <c:ext xmlns:c16="http://schemas.microsoft.com/office/drawing/2014/chart" uri="{C3380CC4-5D6E-409C-BE32-E72D297353CC}">
              <c16:uniqueId val="{0000003F-2FFE-4313-8A85-8800E33041D4}"/>
            </c:ext>
          </c:extLst>
        </c:ser>
        <c:dLbls>
          <c:showLegendKey val="0"/>
          <c:showVal val="0"/>
          <c:showCatName val="0"/>
          <c:showSerName val="0"/>
          <c:showPercent val="0"/>
          <c:showBubbleSize val="0"/>
        </c:dLbls>
        <c:marker val="1"/>
        <c:smooth val="0"/>
        <c:axId val="2078299744"/>
        <c:axId val="2078291008"/>
      </c:lineChart>
      <c:catAx>
        <c:axId val="207829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291008"/>
        <c:crosses val="autoZero"/>
        <c:auto val="1"/>
        <c:lblAlgn val="ctr"/>
        <c:lblOffset val="100"/>
        <c:noMultiLvlLbl val="0"/>
      </c:catAx>
      <c:valAx>
        <c:axId val="207829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29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 2!PivotTable15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Budgeted Hours Vs Actual Hours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c:f>
              <c:strCache>
                <c:ptCount val="1"/>
                <c:pt idx="0">
                  <c:v>Sum of Budgeted Hours</c:v>
                </c:pt>
              </c:strCache>
            </c:strRef>
          </c:tx>
          <c:spPr>
            <a:solidFill>
              <a:schemeClr val="accent1"/>
            </a:solidFill>
            <a:ln>
              <a:noFill/>
            </a:ln>
            <a:effectLst/>
          </c:spPr>
          <c:invertIfNegative val="0"/>
          <c:cat>
            <c:strRef>
              <c:f>'Pivot Table 2'!$A$4:$A$9</c:f>
              <c:strCache>
                <c:ptCount val="5"/>
                <c:pt idx="0">
                  <c:v>Project A</c:v>
                </c:pt>
                <c:pt idx="1">
                  <c:v>Project B</c:v>
                </c:pt>
                <c:pt idx="2">
                  <c:v>Project C</c:v>
                </c:pt>
                <c:pt idx="3">
                  <c:v>Project D</c:v>
                </c:pt>
                <c:pt idx="4">
                  <c:v>Project E</c:v>
                </c:pt>
              </c:strCache>
            </c:strRef>
          </c:cat>
          <c:val>
            <c:numRef>
              <c:f>'Pivot Table 2'!$B$4:$B$9</c:f>
              <c:numCache>
                <c:formatCode>General</c:formatCode>
                <c:ptCount val="5"/>
                <c:pt idx="0">
                  <c:v>2160</c:v>
                </c:pt>
                <c:pt idx="1">
                  <c:v>1350</c:v>
                </c:pt>
                <c:pt idx="2">
                  <c:v>2760</c:v>
                </c:pt>
                <c:pt idx="3">
                  <c:v>3300</c:v>
                </c:pt>
                <c:pt idx="4">
                  <c:v>2580</c:v>
                </c:pt>
              </c:numCache>
            </c:numRef>
          </c:val>
          <c:extLst>
            <c:ext xmlns:c16="http://schemas.microsoft.com/office/drawing/2014/chart" uri="{C3380CC4-5D6E-409C-BE32-E72D297353CC}">
              <c16:uniqueId val="{00000000-0E86-4B8A-ABD0-505DDE76E42B}"/>
            </c:ext>
          </c:extLst>
        </c:ser>
        <c:ser>
          <c:idx val="1"/>
          <c:order val="1"/>
          <c:tx>
            <c:strRef>
              <c:f>'Pivot Table 2'!$C$3</c:f>
              <c:strCache>
                <c:ptCount val="1"/>
                <c:pt idx="0">
                  <c:v>Sum ofActual Hours</c:v>
                </c:pt>
              </c:strCache>
            </c:strRef>
          </c:tx>
          <c:spPr>
            <a:solidFill>
              <a:schemeClr val="accent2"/>
            </a:solidFill>
            <a:ln>
              <a:noFill/>
            </a:ln>
            <a:effectLst/>
          </c:spPr>
          <c:invertIfNegative val="0"/>
          <c:cat>
            <c:strRef>
              <c:f>'Pivot Table 2'!$A$4:$A$9</c:f>
              <c:strCache>
                <c:ptCount val="5"/>
                <c:pt idx="0">
                  <c:v>Project A</c:v>
                </c:pt>
                <c:pt idx="1">
                  <c:v>Project B</c:v>
                </c:pt>
                <c:pt idx="2">
                  <c:v>Project C</c:v>
                </c:pt>
                <c:pt idx="3">
                  <c:v>Project D</c:v>
                </c:pt>
                <c:pt idx="4">
                  <c:v>Project E</c:v>
                </c:pt>
              </c:strCache>
            </c:strRef>
          </c:cat>
          <c:val>
            <c:numRef>
              <c:f>'Pivot Table 2'!$C$4:$C$9</c:f>
              <c:numCache>
                <c:formatCode>General</c:formatCode>
                <c:ptCount val="5"/>
                <c:pt idx="0">
                  <c:v>2364</c:v>
                </c:pt>
                <c:pt idx="1">
                  <c:v>1458</c:v>
                </c:pt>
                <c:pt idx="2">
                  <c:v>3078</c:v>
                </c:pt>
                <c:pt idx="3">
                  <c:v>3156</c:v>
                </c:pt>
                <c:pt idx="4">
                  <c:v>2214</c:v>
                </c:pt>
              </c:numCache>
            </c:numRef>
          </c:val>
          <c:extLst>
            <c:ext xmlns:c16="http://schemas.microsoft.com/office/drawing/2014/chart" uri="{C3380CC4-5D6E-409C-BE32-E72D297353CC}">
              <c16:uniqueId val="{00000001-0E86-4B8A-ABD0-505DDE76E42B}"/>
            </c:ext>
          </c:extLst>
        </c:ser>
        <c:dLbls>
          <c:showLegendKey val="0"/>
          <c:showVal val="0"/>
          <c:showCatName val="0"/>
          <c:showSerName val="0"/>
          <c:showPercent val="0"/>
          <c:showBubbleSize val="0"/>
        </c:dLbls>
        <c:gapWidth val="219"/>
        <c:overlap val="-27"/>
        <c:axId val="2078290176"/>
        <c:axId val="2078303488"/>
      </c:barChart>
      <c:catAx>
        <c:axId val="207829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303488"/>
        <c:crosses val="autoZero"/>
        <c:auto val="1"/>
        <c:lblAlgn val="ctr"/>
        <c:lblOffset val="100"/>
        <c:noMultiLvlLbl val="0"/>
      </c:catAx>
      <c:valAx>
        <c:axId val="207830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29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 2!PivotTable16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Resource</a:t>
            </a:r>
            <a:r>
              <a:rPr lang="en-GB" baseline="0"/>
              <a:t> Utilization by Project and Personnel</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2'!$B$22:$B$23</c:f>
              <c:strCache>
                <c:ptCount val="1"/>
                <c:pt idx="0">
                  <c:v>Crystal</c:v>
                </c:pt>
              </c:strCache>
            </c:strRef>
          </c:tx>
          <c:spPr>
            <a:solidFill>
              <a:schemeClr val="accent1"/>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2'!$B$24:$B$29</c:f>
              <c:numCache>
                <c:formatCode>General</c:formatCode>
                <c:ptCount val="5"/>
                <c:pt idx="3">
                  <c:v>720</c:v>
                </c:pt>
                <c:pt idx="4">
                  <c:v>180</c:v>
                </c:pt>
              </c:numCache>
            </c:numRef>
          </c:val>
          <c:extLst>
            <c:ext xmlns:c16="http://schemas.microsoft.com/office/drawing/2014/chart" uri="{C3380CC4-5D6E-409C-BE32-E72D297353CC}">
              <c16:uniqueId val="{00000000-B6FE-4CF9-A851-3ADA15FBAB73}"/>
            </c:ext>
          </c:extLst>
        </c:ser>
        <c:ser>
          <c:idx val="1"/>
          <c:order val="1"/>
          <c:tx>
            <c:strRef>
              <c:f>'Pivot Table 2'!$C$22:$C$23</c:f>
              <c:strCache>
                <c:ptCount val="1"/>
                <c:pt idx="0">
                  <c:v>Erica</c:v>
                </c:pt>
              </c:strCache>
            </c:strRef>
          </c:tx>
          <c:spPr>
            <a:solidFill>
              <a:schemeClr val="accent2"/>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2'!$C$24:$C$29</c:f>
              <c:numCache>
                <c:formatCode>General</c:formatCode>
                <c:ptCount val="5"/>
                <c:pt idx="1">
                  <c:v>450</c:v>
                </c:pt>
                <c:pt idx="2">
                  <c:v>450</c:v>
                </c:pt>
              </c:numCache>
            </c:numRef>
          </c:val>
          <c:extLst>
            <c:ext xmlns:c16="http://schemas.microsoft.com/office/drawing/2014/chart" uri="{C3380CC4-5D6E-409C-BE32-E72D297353CC}">
              <c16:uniqueId val="{00000096-B6FE-4CF9-A851-3ADA15FBAB73}"/>
            </c:ext>
          </c:extLst>
        </c:ser>
        <c:ser>
          <c:idx val="2"/>
          <c:order val="2"/>
          <c:tx>
            <c:strRef>
              <c:f>'Pivot Table 2'!$D$22:$D$23</c:f>
              <c:strCache>
                <c:ptCount val="1"/>
                <c:pt idx="0">
                  <c:v>Gail</c:v>
                </c:pt>
              </c:strCache>
            </c:strRef>
          </c:tx>
          <c:spPr>
            <a:solidFill>
              <a:schemeClr val="accent3"/>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2'!$D$24:$D$29</c:f>
              <c:numCache>
                <c:formatCode>General</c:formatCode>
                <c:ptCount val="5"/>
                <c:pt idx="0">
                  <c:v>342</c:v>
                </c:pt>
                <c:pt idx="1">
                  <c:v>174</c:v>
                </c:pt>
                <c:pt idx="2">
                  <c:v>210</c:v>
                </c:pt>
                <c:pt idx="4">
                  <c:v>300</c:v>
                </c:pt>
              </c:numCache>
            </c:numRef>
          </c:val>
          <c:extLst>
            <c:ext xmlns:c16="http://schemas.microsoft.com/office/drawing/2014/chart" uri="{C3380CC4-5D6E-409C-BE32-E72D297353CC}">
              <c16:uniqueId val="{00000097-B6FE-4CF9-A851-3ADA15FBAB73}"/>
            </c:ext>
          </c:extLst>
        </c:ser>
        <c:ser>
          <c:idx val="3"/>
          <c:order val="3"/>
          <c:tx>
            <c:strRef>
              <c:f>'Pivot Table 2'!$E$22:$E$23</c:f>
              <c:strCache>
                <c:ptCount val="1"/>
                <c:pt idx="0">
                  <c:v>George</c:v>
                </c:pt>
              </c:strCache>
            </c:strRef>
          </c:tx>
          <c:spPr>
            <a:solidFill>
              <a:schemeClr val="accent4"/>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2'!$E$24:$E$29</c:f>
              <c:numCache>
                <c:formatCode>General</c:formatCode>
                <c:ptCount val="5"/>
                <c:pt idx="1">
                  <c:v>150</c:v>
                </c:pt>
                <c:pt idx="2">
                  <c:v>450</c:v>
                </c:pt>
                <c:pt idx="3">
                  <c:v>450</c:v>
                </c:pt>
                <c:pt idx="4">
                  <c:v>150</c:v>
                </c:pt>
              </c:numCache>
            </c:numRef>
          </c:val>
          <c:extLst>
            <c:ext xmlns:c16="http://schemas.microsoft.com/office/drawing/2014/chart" uri="{C3380CC4-5D6E-409C-BE32-E72D297353CC}">
              <c16:uniqueId val="{00000098-B6FE-4CF9-A851-3ADA15FBAB73}"/>
            </c:ext>
          </c:extLst>
        </c:ser>
        <c:ser>
          <c:idx val="4"/>
          <c:order val="4"/>
          <c:tx>
            <c:strRef>
              <c:f>'Pivot Table 2'!$F$22:$F$23</c:f>
              <c:strCache>
                <c:ptCount val="1"/>
                <c:pt idx="0">
                  <c:v>Inigo</c:v>
                </c:pt>
              </c:strCache>
            </c:strRef>
          </c:tx>
          <c:spPr>
            <a:solidFill>
              <a:schemeClr val="accent5"/>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2'!$F$24:$F$29</c:f>
              <c:numCache>
                <c:formatCode>General</c:formatCode>
                <c:ptCount val="5"/>
                <c:pt idx="3">
                  <c:v>660</c:v>
                </c:pt>
              </c:numCache>
            </c:numRef>
          </c:val>
          <c:extLst>
            <c:ext xmlns:c16="http://schemas.microsoft.com/office/drawing/2014/chart" uri="{C3380CC4-5D6E-409C-BE32-E72D297353CC}">
              <c16:uniqueId val="{00000099-B6FE-4CF9-A851-3ADA15FBAB73}"/>
            </c:ext>
          </c:extLst>
        </c:ser>
        <c:ser>
          <c:idx val="5"/>
          <c:order val="5"/>
          <c:tx>
            <c:strRef>
              <c:f>'Pivot Table 2'!$G$22:$G$23</c:f>
              <c:strCache>
                <c:ptCount val="1"/>
                <c:pt idx="0">
                  <c:v>Jenny</c:v>
                </c:pt>
              </c:strCache>
            </c:strRef>
          </c:tx>
          <c:spPr>
            <a:solidFill>
              <a:schemeClr val="accent6"/>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2'!$G$24:$G$29</c:f>
              <c:numCache>
                <c:formatCode>General</c:formatCode>
                <c:ptCount val="5"/>
                <c:pt idx="0">
                  <c:v>240</c:v>
                </c:pt>
                <c:pt idx="1">
                  <c:v>300</c:v>
                </c:pt>
                <c:pt idx="2">
                  <c:v>480</c:v>
                </c:pt>
              </c:numCache>
            </c:numRef>
          </c:val>
          <c:extLst>
            <c:ext xmlns:c16="http://schemas.microsoft.com/office/drawing/2014/chart" uri="{C3380CC4-5D6E-409C-BE32-E72D297353CC}">
              <c16:uniqueId val="{0000009A-B6FE-4CF9-A851-3ADA15FBAB73}"/>
            </c:ext>
          </c:extLst>
        </c:ser>
        <c:ser>
          <c:idx val="6"/>
          <c:order val="6"/>
          <c:tx>
            <c:strRef>
              <c:f>'Pivot Table 2'!$H$22:$H$23</c:f>
              <c:strCache>
                <c:ptCount val="1"/>
                <c:pt idx="0">
                  <c:v>Jim</c:v>
                </c:pt>
              </c:strCache>
            </c:strRef>
          </c:tx>
          <c:spPr>
            <a:solidFill>
              <a:schemeClr val="accent1">
                <a:lumMod val="60000"/>
              </a:schemeClr>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2'!$H$24:$H$29</c:f>
              <c:numCache>
                <c:formatCode>General</c:formatCode>
                <c:ptCount val="5"/>
                <c:pt idx="0">
                  <c:v>960</c:v>
                </c:pt>
                <c:pt idx="3">
                  <c:v>90</c:v>
                </c:pt>
              </c:numCache>
            </c:numRef>
          </c:val>
          <c:extLst>
            <c:ext xmlns:c16="http://schemas.microsoft.com/office/drawing/2014/chart" uri="{C3380CC4-5D6E-409C-BE32-E72D297353CC}">
              <c16:uniqueId val="{0000009B-B6FE-4CF9-A851-3ADA15FBAB73}"/>
            </c:ext>
          </c:extLst>
        </c:ser>
        <c:ser>
          <c:idx val="7"/>
          <c:order val="7"/>
          <c:tx>
            <c:strRef>
              <c:f>'Pivot Table 2'!$I$22:$I$23</c:f>
              <c:strCache>
                <c:ptCount val="1"/>
                <c:pt idx="0">
                  <c:v>Larry</c:v>
                </c:pt>
              </c:strCache>
            </c:strRef>
          </c:tx>
          <c:spPr>
            <a:solidFill>
              <a:schemeClr val="accent2">
                <a:lumMod val="60000"/>
              </a:schemeClr>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2'!$I$24:$I$29</c:f>
              <c:numCache>
                <c:formatCode>General</c:formatCode>
                <c:ptCount val="5"/>
                <c:pt idx="4">
                  <c:v>480</c:v>
                </c:pt>
              </c:numCache>
            </c:numRef>
          </c:val>
          <c:extLst>
            <c:ext xmlns:c16="http://schemas.microsoft.com/office/drawing/2014/chart" uri="{C3380CC4-5D6E-409C-BE32-E72D297353CC}">
              <c16:uniqueId val="{0000009C-B6FE-4CF9-A851-3ADA15FBAB73}"/>
            </c:ext>
          </c:extLst>
        </c:ser>
        <c:ser>
          <c:idx val="8"/>
          <c:order val="8"/>
          <c:tx>
            <c:strRef>
              <c:f>'Pivot Table 2'!$J$22:$J$23</c:f>
              <c:strCache>
                <c:ptCount val="1"/>
                <c:pt idx="0">
                  <c:v>Monique</c:v>
                </c:pt>
              </c:strCache>
            </c:strRef>
          </c:tx>
          <c:spPr>
            <a:solidFill>
              <a:schemeClr val="accent3">
                <a:lumMod val="60000"/>
              </a:schemeClr>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2'!$J$24:$J$29</c:f>
              <c:numCache>
                <c:formatCode>General</c:formatCode>
                <c:ptCount val="5"/>
                <c:pt idx="0">
                  <c:v>240</c:v>
                </c:pt>
                <c:pt idx="1">
                  <c:v>240</c:v>
                </c:pt>
                <c:pt idx="2">
                  <c:v>720</c:v>
                </c:pt>
              </c:numCache>
            </c:numRef>
          </c:val>
          <c:extLst>
            <c:ext xmlns:c16="http://schemas.microsoft.com/office/drawing/2014/chart" uri="{C3380CC4-5D6E-409C-BE32-E72D297353CC}">
              <c16:uniqueId val="{0000009D-B6FE-4CF9-A851-3ADA15FBAB73}"/>
            </c:ext>
          </c:extLst>
        </c:ser>
        <c:ser>
          <c:idx val="9"/>
          <c:order val="9"/>
          <c:tx>
            <c:strRef>
              <c:f>'Pivot Table 2'!$K$22:$K$23</c:f>
              <c:strCache>
                <c:ptCount val="1"/>
                <c:pt idx="0">
                  <c:v>Sarah</c:v>
                </c:pt>
              </c:strCache>
            </c:strRef>
          </c:tx>
          <c:spPr>
            <a:solidFill>
              <a:schemeClr val="accent4">
                <a:lumMod val="60000"/>
              </a:schemeClr>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2'!$K$24:$K$29</c:f>
              <c:numCache>
                <c:formatCode>General</c:formatCode>
                <c:ptCount val="5"/>
                <c:pt idx="3">
                  <c:v>1020</c:v>
                </c:pt>
              </c:numCache>
            </c:numRef>
          </c:val>
          <c:extLst>
            <c:ext xmlns:c16="http://schemas.microsoft.com/office/drawing/2014/chart" uri="{C3380CC4-5D6E-409C-BE32-E72D297353CC}">
              <c16:uniqueId val="{0000009E-B6FE-4CF9-A851-3ADA15FBAB73}"/>
            </c:ext>
          </c:extLst>
        </c:ser>
        <c:ser>
          <c:idx val="10"/>
          <c:order val="10"/>
          <c:tx>
            <c:strRef>
              <c:f>'Pivot Table 2'!$L$22:$L$23</c:f>
              <c:strCache>
                <c:ptCount val="1"/>
                <c:pt idx="0">
                  <c:v>Sondra</c:v>
                </c:pt>
              </c:strCache>
            </c:strRef>
          </c:tx>
          <c:spPr>
            <a:solidFill>
              <a:schemeClr val="accent5">
                <a:lumMod val="60000"/>
              </a:schemeClr>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2'!$L$24:$L$29</c:f>
              <c:numCache>
                <c:formatCode>General</c:formatCode>
                <c:ptCount val="5"/>
                <c:pt idx="4">
                  <c:v>960</c:v>
                </c:pt>
              </c:numCache>
            </c:numRef>
          </c:val>
          <c:extLst>
            <c:ext xmlns:c16="http://schemas.microsoft.com/office/drawing/2014/chart" uri="{C3380CC4-5D6E-409C-BE32-E72D297353CC}">
              <c16:uniqueId val="{0000009F-B6FE-4CF9-A851-3ADA15FBAB73}"/>
            </c:ext>
          </c:extLst>
        </c:ser>
        <c:ser>
          <c:idx val="11"/>
          <c:order val="11"/>
          <c:tx>
            <c:strRef>
              <c:f>'Pivot Table 2'!$M$22:$M$23</c:f>
              <c:strCache>
                <c:ptCount val="1"/>
                <c:pt idx="0">
                  <c:v>Stanley</c:v>
                </c:pt>
              </c:strCache>
            </c:strRef>
          </c:tx>
          <c:spPr>
            <a:solidFill>
              <a:schemeClr val="accent6">
                <a:lumMod val="60000"/>
              </a:schemeClr>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2'!$M$24:$M$29</c:f>
              <c:numCache>
                <c:formatCode>General</c:formatCode>
                <c:ptCount val="5"/>
                <c:pt idx="0">
                  <c:v>72</c:v>
                </c:pt>
                <c:pt idx="1">
                  <c:v>144</c:v>
                </c:pt>
                <c:pt idx="2">
                  <c:v>288</c:v>
                </c:pt>
                <c:pt idx="3">
                  <c:v>216</c:v>
                </c:pt>
                <c:pt idx="4">
                  <c:v>144</c:v>
                </c:pt>
              </c:numCache>
            </c:numRef>
          </c:val>
          <c:extLst>
            <c:ext xmlns:c16="http://schemas.microsoft.com/office/drawing/2014/chart" uri="{C3380CC4-5D6E-409C-BE32-E72D297353CC}">
              <c16:uniqueId val="{000000A0-B6FE-4CF9-A851-3ADA15FBAB73}"/>
            </c:ext>
          </c:extLst>
        </c:ser>
        <c:ser>
          <c:idx val="12"/>
          <c:order val="12"/>
          <c:tx>
            <c:strRef>
              <c:f>'Pivot Table 2'!$N$22:$N$23</c:f>
              <c:strCache>
                <c:ptCount val="1"/>
                <c:pt idx="0">
                  <c:v>Tom</c:v>
                </c:pt>
              </c:strCache>
            </c:strRef>
          </c:tx>
          <c:spPr>
            <a:solidFill>
              <a:schemeClr val="accent1">
                <a:lumMod val="80000"/>
                <a:lumOff val="20000"/>
              </a:schemeClr>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2'!$N$24:$N$29</c:f>
              <c:numCache>
                <c:formatCode>General</c:formatCode>
                <c:ptCount val="5"/>
                <c:pt idx="0">
                  <c:v>510</c:v>
                </c:pt>
                <c:pt idx="2">
                  <c:v>480</c:v>
                </c:pt>
              </c:numCache>
            </c:numRef>
          </c:val>
          <c:extLst>
            <c:ext xmlns:c16="http://schemas.microsoft.com/office/drawing/2014/chart" uri="{C3380CC4-5D6E-409C-BE32-E72D297353CC}">
              <c16:uniqueId val="{000000A1-B6FE-4CF9-A851-3ADA15FBAB73}"/>
            </c:ext>
          </c:extLst>
        </c:ser>
        <c:dLbls>
          <c:showLegendKey val="0"/>
          <c:showVal val="0"/>
          <c:showCatName val="0"/>
          <c:showSerName val="0"/>
          <c:showPercent val="0"/>
          <c:showBubbleSize val="0"/>
        </c:dLbls>
        <c:gapWidth val="150"/>
        <c:overlap val="100"/>
        <c:axId val="630333104"/>
        <c:axId val="630337264"/>
      </c:barChart>
      <c:catAx>
        <c:axId val="630333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Project</a:t>
                </a:r>
              </a:p>
            </c:rich>
          </c:tx>
          <c:layout>
            <c:manualLayout>
              <c:xMode val="edge"/>
              <c:yMode val="edge"/>
              <c:x val="0.44363757655293096"/>
              <c:y val="0.861182560513269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337264"/>
        <c:crosses val="autoZero"/>
        <c:auto val="1"/>
        <c:lblAlgn val="ctr"/>
        <c:lblOffset val="100"/>
        <c:noMultiLvlLbl val="0"/>
      </c:catAx>
      <c:valAx>
        <c:axId val="630337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Actual Hours </a:t>
                </a:r>
              </a:p>
            </c:rich>
          </c:tx>
          <c:layout>
            <c:manualLayout>
              <c:xMode val="edge"/>
              <c:yMode val="edge"/>
              <c:x val="2.2222222222222223E-2"/>
              <c:y val="0.300281787693205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33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 2!PivotTable17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Time Estimate Accuracy Per Project</a:t>
            </a:r>
            <a:endParaRPr lang="en-US"/>
          </a:p>
        </c:rich>
      </c:tx>
      <c:layout>
        <c:manualLayout>
          <c:xMode val="edge"/>
          <c:yMode val="edge"/>
          <c:x val="0.2090555555555555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2'!$B$38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2'!$A$39:$A$44</c:f>
              <c:strCache>
                <c:ptCount val="5"/>
                <c:pt idx="0">
                  <c:v>Project A</c:v>
                </c:pt>
                <c:pt idx="1">
                  <c:v>Project B</c:v>
                </c:pt>
                <c:pt idx="2">
                  <c:v>Project C</c:v>
                </c:pt>
                <c:pt idx="3">
                  <c:v>Project D</c:v>
                </c:pt>
                <c:pt idx="4">
                  <c:v>Project E</c:v>
                </c:pt>
              </c:strCache>
            </c:strRef>
          </c:cat>
          <c:val>
            <c:numRef>
              <c:f>'Pivot Table 2'!$B$39:$B$44</c:f>
              <c:numCache>
                <c:formatCode>0</c:formatCode>
                <c:ptCount val="5"/>
                <c:pt idx="0">
                  <c:v>-22.666666666666668</c:v>
                </c:pt>
                <c:pt idx="1">
                  <c:v>-12</c:v>
                </c:pt>
                <c:pt idx="2">
                  <c:v>-22.714285714285715</c:v>
                </c:pt>
                <c:pt idx="3">
                  <c:v>10.285714285714286</c:v>
                </c:pt>
                <c:pt idx="4">
                  <c:v>52.285714285714285</c:v>
                </c:pt>
              </c:numCache>
            </c:numRef>
          </c:val>
          <c:smooth val="0"/>
          <c:extLst>
            <c:ext xmlns:c16="http://schemas.microsoft.com/office/drawing/2014/chart" uri="{C3380CC4-5D6E-409C-BE32-E72D297353CC}">
              <c16:uniqueId val="{00000000-B90C-41EA-A5CE-AC85A5CE461B}"/>
            </c:ext>
          </c:extLst>
        </c:ser>
        <c:dLbls>
          <c:dLblPos val="ctr"/>
          <c:showLegendKey val="0"/>
          <c:showVal val="1"/>
          <c:showCatName val="0"/>
          <c:showSerName val="0"/>
          <c:showPercent val="0"/>
          <c:showBubbleSize val="0"/>
        </c:dLbls>
        <c:marker val="1"/>
        <c:smooth val="0"/>
        <c:axId val="389959728"/>
        <c:axId val="483384192"/>
      </c:lineChart>
      <c:catAx>
        <c:axId val="389959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Project</a:t>
                </a:r>
              </a:p>
            </c:rich>
          </c:tx>
          <c:layout>
            <c:manualLayout>
              <c:xMode val="edge"/>
              <c:yMode val="edge"/>
              <c:x val="0.42019313210848647"/>
              <c:y val="0.84729367162438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84192"/>
        <c:crosses val="autoZero"/>
        <c:auto val="1"/>
        <c:lblAlgn val="ctr"/>
        <c:lblOffset val="100"/>
        <c:noMultiLvlLbl val="0"/>
      </c:catAx>
      <c:valAx>
        <c:axId val="483384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Hours</a:t>
                </a:r>
                <a:r>
                  <a:rPr lang="en-GB" baseline="0"/>
                  <a:t> Variance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5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 3!PivotTable21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Budgeted Cost Per Project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3'!$B$3:$B$4</c:f>
              <c:strCache>
                <c:ptCount val="1"/>
                <c:pt idx="0">
                  <c:v>1</c:v>
                </c:pt>
              </c:strCache>
            </c:strRef>
          </c:tx>
          <c:spPr>
            <a:solidFill>
              <a:schemeClr val="accent1"/>
            </a:solidFill>
            <a:ln>
              <a:noFill/>
            </a:ln>
            <a:effectLst/>
          </c:spPr>
          <c:invertIfNegative val="0"/>
          <c:cat>
            <c:strRef>
              <c:f>'Pivot Table 3'!$A$5:$A$10</c:f>
              <c:strCache>
                <c:ptCount val="5"/>
                <c:pt idx="0">
                  <c:v>A</c:v>
                </c:pt>
                <c:pt idx="1">
                  <c:v>B</c:v>
                </c:pt>
                <c:pt idx="2">
                  <c:v>C</c:v>
                </c:pt>
                <c:pt idx="3">
                  <c:v>D</c:v>
                </c:pt>
                <c:pt idx="4">
                  <c:v>E</c:v>
                </c:pt>
              </c:strCache>
            </c:strRef>
          </c:cat>
          <c:val>
            <c:numRef>
              <c:f>'Pivot Table 3'!$B$5:$B$10</c:f>
              <c:numCache>
                <c:formatCode>General</c:formatCode>
                <c:ptCount val="5"/>
                <c:pt idx="0">
                  <c:v>25600</c:v>
                </c:pt>
                <c:pt idx="1">
                  <c:v>21850</c:v>
                </c:pt>
                <c:pt idx="2">
                  <c:v>36000</c:v>
                </c:pt>
                <c:pt idx="3">
                  <c:v>48500</c:v>
                </c:pt>
                <c:pt idx="4">
                  <c:v>29080</c:v>
                </c:pt>
              </c:numCache>
            </c:numRef>
          </c:val>
          <c:extLst>
            <c:ext xmlns:c16="http://schemas.microsoft.com/office/drawing/2014/chart" uri="{C3380CC4-5D6E-409C-BE32-E72D297353CC}">
              <c16:uniqueId val="{00000000-418C-4DF5-B600-304421CEC4D5}"/>
            </c:ext>
          </c:extLst>
        </c:ser>
        <c:ser>
          <c:idx val="1"/>
          <c:order val="1"/>
          <c:tx>
            <c:strRef>
              <c:f>'Pivot Table 3'!$C$3:$C$4</c:f>
              <c:strCache>
                <c:ptCount val="1"/>
                <c:pt idx="0">
                  <c:v>2</c:v>
                </c:pt>
              </c:strCache>
            </c:strRef>
          </c:tx>
          <c:spPr>
            <a:solidFill>
              <a:schemeClr val="accent2"/>
            </a:solidFill>
            <a:ln>
              <a:noFill/>
            </a:ln>
            <a:effectLst/>
          </c:spPr>
          <c:invertIfNegative val="0"/>
          <c:cat>
            <c:strRef>
              <c:f>'Pivot Table 3'!$A$5:$A$10</c:f>
              <c:strCache>
                <c:ptCount val="5"/>
                <c:pt idx="0">
                  <c:v>A</c:v>
                </c:pt>
                <c:pt idx="1">
                  <c:v>B</c:v>
                </c:pt>
                <c:pt idx="2">
                  <c:v>C</c:v>
                </c:pt>
                <c:pt idx="3">
                  <c:v>D</c:v>
                </c:pt>
                <c:pt idx="4">
                  <c:v>E</c:v>
                </c:pt>
              </c:strCache>
            </c:strRef>
          </c:cat>
          <c:val>
            <c:numRef>
              <c:f>'Pivot Table 3'!$C$5:$C$10</c:f>
              <c:numCache>
                <c:formatCode>General</c:formatCode>
                <c:ptCount val="5"/>
                <c:pt idx="0">
                  <c:v>25600</c:v>
                </c:pt>
                <c:pt idx="1">
                  <c:v>21850</c:v>
                </c:pt>
                <c:pt idx="2">
                  <c:v>36000</c:v>
                </c:pt>
                <c:pt idx="3">
                  <c:v>48500</c:v>
                </c:pt>
                <c:pt idx="4">
                  <c:v>29080</c:v>
                </c:pt>
              </c:numCache>
            </c:numRef>
          </c:val>
          <c:extLst>
            <c:ext xmlns:c16="http://schemas.microsoft.com/office/drawing/2014/chart" uri="{C3380CC4-5D6E-409C-BE32-E72D297353CC}">
              <c16:uniqueId val="{00000043-418C-4DF5-B600-304421CEC4D5}"/>
            </c:ext>
          </c:extLst>
        </c:ser>
        <c:ser>
          <c:idx val="2"/>
          <c:order val="2"/>
          <c:tx>
            <c:strRef>
              <c:f>'Pivot Table 3'!$D$3:$D$4</c:f>
              <c:strCache>
                <c:ptCount val="1"/>
                <c:pt idx="0">
                  <c:v>3</c:v>
                </c:pt>
              </c:strCache>
            </c:strRef>
          </c:tx>
          <c:spPr>
            <a:solidFill>
              <a:schemeClr val="accent3"/>
            </a:solidFill>
            <a:ln>
              <a:noFill/>
            </a:ln>
            <a:effectLst/>
          </c:spPr>
          <c:invertIfNegative val="0"/>
          <c:cat>
            <c:strRef>
              <c:f>'Pivot Table 3'!$A$5:$A$10</c:f>
              <c:strCache>
                <c:ptCount val="5"/>
                <c:pt idx="0">
                  <c:v>A</c:v>
                </c:pt>
                <c:pt idx="1">
                  <c:v>B</c:v>
                </c:pt>
                <c:pt idx="2">
                  <c:v>C</c:v>
                </c:pt>
                <c:pt idx="3">
                  <c:v>D</c:v>
                </c:pt>
                <c:pt idx="4">
                  <c:v>E</c:v>
                </c:pt>
              </c:strCache>
            </c:strRef>
          </c:cat>
          <c:val>
            <c:numRef>
              <c:f>'Pivot Table 3'!$D$5:$D$10</c:f>
              <c:numCache>
                <c:formatCode>General</c:formatCode>
                <c:ptCount val="5"/>
                <c:pt idx="0">
                  <c:v>25600</c:v>
                </c:pt>
                <c:pt idx="1">
                  <c:v>21850</c:v>
                </c:pt>
                <c:pt idx="2">
                  <c:v>36000</c:v>
                </c:pt>
                <c:pt idx="3">
                  <c:v>48500</c:v>
                </c:pt>
                <c:pt idx="4">
                  <c:v>29080</c:v>
                </c:pt>
              </c:numCache>
            </c:numRef>
          </c:val>
          <c:extLst>
            <c:ext xmlns:c16="http://schemas.microsoft.com/office/drawing/2014/chart" uri="{C3380CC4-5D6E-409C-BE32-E72D297353CC}">
              <c16:uniqueId val="{00000044-418C-4DF5-B600-304421CEC4D5}"/>
            </c:ext>
          </c:extLst>
        </c:ser>
        <c:ser>
          <c:idx val="3"/>
          <c:order val="3"/>
          <c:tx>
            <c:strRef>
              <c:f>'Pivot Table 3'!$E$3:$E$4</c:f>
              <c:strCache>
                <c:ptCount val="1"/>
                <c:pt idx="0">
                  <c:v>4</c:v>
                </c:pt>
              </c:strCache>
            </c:strRef>
          </c:tx>
          <c:spPr>
            <a:solidFill>
              <a:schemeClr val="accent4"/>
            </a:solidFill>
            <a:ln>
              <a:noFill/>
            </a:ln>
            <a:effectLst/>
          </c:spPr>
          <c:invertIfNegative val="0"/>
          <c:cat>
            <c:strRef>
              <c:f>'Pivot Table 3'!$A$5:$A$10</c:f>
              <c:strCache>
                <c:ptCount val="5"/>
                <c:pt idx="0">
                  <c:v>A</c:v>
                </c:pt>
                <c:pt idx="1">
                  <c:v>B</c:v>
                </c:pt>
                <c:pt idx="2">
                  <c:v>C</c:v>
                </c:pt>
                <c:pt idx="3">
                  <c:v>D</c:v>
                </c:pt>
                <c:pt idx="4">
                  <c:v>E</c:v>
                </c:pt>
              </c:strCache>
            </c:strRef>
          </c:cat>
          <c:val>
            <c:numRef>
              <c:f>'Pivot Table 3'!$E$5:$E$10</c:f>
              <c:numCache>
                <c:formatCode>General</c:formatCode>
                <c:ptCount val="5"/>
                <c:pt idx="0">
                  <c:v>25600</c:v>
                </c:pt>
                <c:pt idx="1">
                  <c:v>21850</c:v>
                </c:pt>
                <c:pt idx="2">
                  <c:v>36000</c:v>
                </c:pt>
                <c:pt idx="3">
                  <c:v>48500</c:v>
                </c:pt>
                <c:pt idx="4">
                  <c:v>29080</c:v>
                </c:pt>
              </c:numCache>
            </c:numRef>
          </c:val>
          <c:extLst>
            <c:ext xmlns:c16="http://schemas.microsoft.com/office/drawing/2014/chart" uri="{C3380CC4-5D6E-409C-BE32-E72D297353CC}">
              <c16:uniqueId val="{00000045-418C-4DF5-B600-304421CEC4D5}"/>
            </c:ext>
          </c:extLst>
        </c:ser>
        <c:ser>
          <c:idx val="4"/>
          <c:order val="4"/>
          <c:tx>
            <c:strRef>
              <c:f>'Pivot Table 3'!$F$3:$F$4</c:f>
              <c:strCache>
                <c:ptCount val="1"/>
                <c:pt idx="0">
                  <c:v>5</c:v>
                </c:pt>
              </c:strCache>
            </c:strRef>
          </c:tx>
          <c:spPr>
            <a:solidFill>
              <a:schemeClr val="accent5"/>
            </a:solidFill>
            <a:ln>
              <a:noFill/>
            </a:ln>
            <a:effectLst/>
          </c:spPr>
          <c:invertIfNegative val="0"/>
          <c:cat>
            <c:strRef>
              <c:f>'Pivot Table 3'!$A$5:$A$10</c:f>
              <c:strCache>
                <c:ptCount val="5"/>
                <c:pt idx="0">
                  <c:v>A</c:v>
                </c:pt>
                <c:pt idx="1">
                  <c:v>B</c:v>
                </c:pt>
                <c:pt idx="2">
                  <c:v>C</c:v>
                </c:pt>
                <c:pt idx="3">
                  <c:v>D</c:v>
                </c:pt>
                <c:pt idx="4">
                  <c:v>E</c:v>
                </c:pt>
              </c:strCache>
            </c:strRef>
          </c:cat>
          <c:val>
            <c:numRef>
              <c:f>'Pivot Table 3'!$F$5:$F$10</c:f>
              <c:numCache>
                <c:formatCode>General</c:formatCode>
                <c:ptCount val="5"/>
                <c:pt idx="0">
                  <c:v>25600</c:v>
                </c:pt>
                <c:pt idx="1">
                  <c:v>21850</c:v>
                </c:pt>
                <c:pt idx="2">
                  <c:v>36000</c:v>
                </c:pt>
                <c:pt idx="3">
                  <c:v>48500</c:v>
                </c:pt>
                <c:pt idx="4">
                  <c:v>29080</c:v>
                </c:pt>
              </c:numCache>
            </c:numRef>
          </c:val>
          <c:extLst>
            <c:ext xmlns:c16="http://schemas.microsoft.com/office/drawing/2014/chart" uri="{C3380CC4-5D6E-409C-BE32-E72D297353CC}">
              <c16:uniqueId val="{00000046-418C-4DF5-B600-304421CEC4D5}"/>
            </c:ext>
          </c:extLst>
        </c:ser>
        <c:ser>
          <c:idx val="5"/>
          <c:order val="5"/>
          <c:tx>
            <c:strRef>
              <c:f>'Pivot Table 3'!$G$3:$G$4</c:f>
              <c:strCache>
                <c:ptCount val="1"/>
                <c:pt idx="0">
                  <c:v>6</c:v>
                </c:pt>
              </c:strCache>
            </c:strRef>
          </c:tx>
          <c:spPr>
            <a:solidFill>
              <a:schemeClr val="accent6"/>
            </a:solidFill>
            <a:ln>
              <a:noFill/>
            </a:ln>
            <a:effectLst/>
          </c:spPr>
          <c:invertIfNegative val="0"/>
          <c:cat>
            <c:strRef>
              <c:f>'Pivot Table 3'!$A$5:$A$10</c:f>
              <c:strCache>
                <c:ptCount val="5"/>
                <c:pt idx="0">
                  <c:v>A</c:v>
                </c:pt>
                <c:pt idx="1">
                  <c:v>B</c:v>
                </c:pt>
                <c:pt idx="2">
                  <c:v>C</c:v>
                </c:pt>
                <c:pt idx="3">
                  <c:v>D</c:v>
                </c:pt>
                <c:pt idx="4">
                  <c:v>E</c:v>
                </c:pt>
              </c:strCache>
            </c:strRef>
          </c:cat>
          <c:val>
            <c:numRef>
              <c:f>'Pivot Table 3'!$G$5:$G$10</c:f>
              <c:numCache>
                <c:formatCode>General</c:formatCode>
                <c:ptCount val="5"/>
                <c:pt idx="0">
                  <c:v>25600</c:v>
                </c:pt>
                <c:pt idx="1">
                  <c:v>21850</c:v>
                </c:pt>
                <c:pt idx="2">
                  <c:v>36000</c:v>
                </c:pt>
                <c:pt idx="3">
                  <c:v>48500</c:v>
                </c:pt>
                <c:pt idx="4">
                  <c:v>29080</c:v>
                </c:pt>
              </c:numCache>
            </c:numRef>
          </c:val>
          <c:extLst>
            <c:ext xmlns:c16="http://schemas.microsoft.com/office/drawing/2014/chart" uri="{C3380CC4-5D6E-409C-BE32-E72D297353CC}">
              <c16:uniqueId val="{00000047-418C-4DF5-B600-304421CEC4D5}"/>
            </c:ext>
          </c:extLst>
        </c:ser>
        <c:dLbls>
          <c:showLegendKey val="0"/>
          <c:showVal val="0"/>
          <c:showCatName val="0"/>
          <c:showSerName val="0"/>
          <c:showPercent val="0"/>
          <c:showBubbleSize val="0"/>
        </c:dLbls>
        <c:gapWidth val="150"/>
        <c:overlap val="100"/>
        <c:axId val="57733360"/>
        <c:axId val="57730032"/>
      </c:barChart>
      <c:catAx>
        <c:axId val="5773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Project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30032"/>
        <c:crosses val="autoZero"/>
        <c:auto val="1"/>
        <c:lblAlgn val="ctr"/>
        <c:lblOffset val="100"/>
        <c:noMultiLvlLbl val="0"/>
      </c:catAx>
      <c:valAx>
        <c:axId val="57730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Budgeted</a:t>
                </a:r>
                <a:r>
                  <a:rPr lang="en-GB" baseline="0"/>
                  <a:t> Cost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3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 3!PivotTable22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Cost Variance Per Project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3'!$B$54:$B$55</c:f>
              <c:strCache>
                <c:ptCount val="1"/>
                <c:pt idx="0">
                  <c:v>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3'!$A$56:$A$61</c:f>
              <c:strCache>
                <c:ptCount val="5"/>
                <c:pt idx="0">
                  <c:v>A</c:v>
                </c:pt>
                <c:pt idx="1">
                  <c:v>B</c:v>
                </c:pt>
                <c:pt idx="2">
                  <c:v>C</c:v>
                </c:pt>
                <c:pt idx="3">
                  <c:v>D</c:v>
                </c:pt>
                <c:pt idx="4">
                  <c:v>E</c:v>
                </c:pt>
              </c:strCache>
            </c:strRef>
          </c:cat>
          <c:val>
            <c:numRef>
              <c:f>'Pivot Table 3'!$B$56:$B$61</c:f>
              <c:numCache>
                <c:formatCode>General</c:formatCode>
                <c:ptCount val="5"/>
                <c:pt idx="0">
                  <c:v>-2100</c:v>
                </c:pt>
                <c:pt idx="1">
                  <c:v>-4250</c:v>
                </c:pt>
                <c:pt idx="2">
                  <c:v>-8050</c:v>
                </c:pt>
                <c:pt idx="3">
                  <c:v>3250</c:v>
                </c:pt>
                <c:pt idx="4">
                  <c:v>6040</c:v>
                </c:pt>
              </c:numCache>
            </c:numRef>
          </c:val>
          <c:smooth val="0"/>
          <c:extLst>
            <c:ext xmlns:c16="http://schemas.microsoft.com/office/drawing/2014/chart" uri="{C3380CC4-5D6E-409C-BE32-E72D297353CC}">
              <c16:uniqueId val="{00000000-F7F9-4B86-9FC7-A9698D66BBF8}"/>
            </c:ext>
          </c:extLst>
        </c:ser>
        <c:ser>
          <c:idx val="1"/>
          <c:order val="1"/>
          <c:tx>
            <c:strRef>
              <c:f>'Pivot Table 3'!$C$54:$C$55</c:f>
              <c:strCache>
                <c:ptCount val="1"/>
                <c:pt idx="0">
                  <c:v>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3'!$A$56:$A$61</c:f>
              <c:strCache>
                <c:ptCount val="5"/>
                <c:pt idx="0">
                  <c:v>A</c:v>
                </c:pt>
                <c:pt idx="1">
                  <c:v>B</c:v>
                </c:pt>
                <c:pt idx="2">
                  <c:v>C</c:v>
                </c:pt>
                <c:pt idx="3">
                  <c:v>D</c:v>
                </c:pt>
                <c:pt idx="4">
                  <c:v>E</c:v>
                </c:pt>
              </c:strCache>
            </c:strRef>
          </c:cat>
          <c:val>
            <c:numRef>
              <c:f>'Pivot Table 3'!$C$56:$C$61</c:f>
              <c:numCache>
                <c:formatCode>General</c:formatCode>
                <c:ptCount val="5"/>
                <c:pt idx="0">
                  <c:v>-2100</c:v>
                </c:pt>
                <c:pt idx="1">
                  <c:v>-4250</c:v>
                </c:pt>
                <c:pt idx="2">
                  <c:v>-8050</c:v>
                </c:pt>
                <c:pt idx="3">
                  <c:v>3250</c:v>
                </c:pt>
                <c:pt idx="4">
                  <c:v>6040</c:v>
                </c:pt>
              </c:numCache>
            </c:numRef>
          </c:val>
          <c:smooth val="0"/>
          <c:extLst>
            <c:ext xmlns:c16="http://schemas.microsoft.com/office/drawing/2014/chart" uri="{C3380CC4-5D6E-409C-BE32-E72D297353CC}">
              <c16:uniqueId val="{0000001B-F7F9-4B86-9FC7-A9698D66BBF8}"/>
            </c:ext>
          </c:extLst>
        </c:ser>
        <c:ser>
          <c:idx val="2"/>
          <c:order val="2"/>
          <c:tx>
            <c:strRef>
              <c:f>'Pivot Table 3'!$D$54:$D$55</c:f>
              <c:strCache>
                <c:ptCount val="1"/>
                <c:pt idx="0">
                  <c:v>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 3'!$A$56:$A$61</c:f>
              <c:strCache>
                <c:ptCount val="5"/>
                <c:pt idx="0">
                  <c:v>A</c:v>
                </c:pt>
                <c:pt idx="1">
                  <c:v>B</c:v>
                </c:pt>
                <c:pt idx="2">
                  <c:v>C</c:v>
                </c:pt>
                <c:pt idx="3">
                  <c:v>D</c:v>
                </c:pt>
                <c:pt idx="4">
                  <c:v>E</c:v>
                </c:pt>
              </c:strCache>
            </c:strRef>
          </c:cat>
          <c:val>
            <c:numRef>
              <c:f>'Pivot Table 3'!$D$56:$D$61</c:f>
              <c:numCache>
                <c:formatCode>General</c:formatCode>
                <c:ptCount val="5"/>
                <c:pt idx="0">
                  <c:v>-2100</c:v>
                </c:pt>
                <c:pt idx="1">
                  <c:v>-4250</c:v>
                </c:pt>
                <c:pt idx="2">
                  <c:v>-8050</c:v>
                </c:pt>
                <c:pt idx="3">
                  <c:v>3250</c:v>
                </c:pt>
                <c:pt idx="4">
                  <c:v>6040</c:v>
                </c:pt>
              </c:numCache>
            </c:numRef>
          </c:val>
          <c:smooth val="0"/>
          <c:extLst>
            <c:ext xmlns:c16="http://schemas.microsoft.com/office/drawing/2014/chart" uri="{C3380CC4-5D6E-409C-BE32-E72D297353CC}">
              <c16:uniqueId val="{0000001C-F7F9-4B86-9FC7-A9698D66BBF8}"/>
            </c:ext>
          </c:extLst>
        </c:ser>
        <c:ser>
          <c:idx val="3"/>
          <c:order val="3"/>
          <c:tx>
            <c:strRef>
              <c:f>'Pivot Table 3'!$E$54:$E$55</c:f>
              <c:strCache>
                <c:ptCount val="1"/>
                <c:pt idx="0">
                  <c:v>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 3'!$A$56:$A$61</c:f>
              <c:strCache>
                <c:ptCount val="5"/>
                <c:pt idx="0">
                  <c:v>A</c:v>
                </c:pt>
                <c:pt idx="1">
                  <c:v>B</c:v>
                </c:pt>
                <c:pt idx="2">
                  <c:v>C</c:v>
                </c:pt>
                <c:pt idx="3">
                  <c:v>D</c:v>
                </c:pt>
                <c:pt idx="4">
                  <c:v>E</c:v>
                </c:pt>
              </c:strCache>
            </c:strRef>
          </c:cat>
          <c:val>
            <c:numRef>
              <c:f>'Pivot Table 3'!$E$56:$E$61</c:f>
              <c:numCache>
                <c:formatCode>General</c:formatCode>
                <c:ptCount val="5"/>
                <c:pt idx="0">
                  <c:v>-2750</c:v>
                </c:pt>
                <c:pt idx="1">
                  <c:v>2750</c:v>
                </c:pt>
                <c:pt idx="2">
                  <c:v>-1050</c:v>
                </c:pt>
                <c:pt idx="3">
                  <c:v>3250</c:v>
                </c:pt>
                <c:pt idx="4">
                  <c:v>6040</c:v>
                </c:pt>
              </c:numCache>
            </c:numRef>
          </c:val>
          <c:smooth val="0"/>
          <c:extLst>
            <c:ext xmlns:c16="http://schemas.microsoft.com/office/drawing/2014/chart" uri="{C3380CC4-5D6E-409C-BE32-E72D297353CC}">
              <c16:uniqueId val="{0000001D-F7F9-4B86-9FC7-A9698D66BBF8}"/>
            </c:ext>
          </c:extLst>
        </c:ser>
        <c:ser>
          <c:idx val="4"/>
          <c:order val="4"/>
          <c:tx>
            <c:strRef>
              <c:f>'Pivot Table 3'!$F$54:$F$55</c:f>
              <c:strCache>
                <c:ptCount val="1"/>
                <c:pt idx="0">
                  <c:v>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 3'!$A$56:$A$61</c:f>
              <c:strCache>
                <c:ptCount val="5"/>
                <c:pt idx="0">
                  <c:v>A</c:v>
                </c:pt>
                <c:pt idx="1">
                  <c:v>B</c:v>
                </c:pt>
                <c:pt idx="2">
                  <c:v>C</c:v>
                </c:pt>
                <c:pt idx="3">
                  <c:v>D</c:v>
                </c:pt>
                <c:pt idx="4">
                  <c:v>E</c:v>
                </c:pt>
              </c:strCache>
            </c:strRef>
          </c:cat>
          <c:val>
            <c:numRef>
              <c:f>'Pivot Table 3'!$F$56:$F$61</c:f>
              <c:numCache>
                <c:formatCode>General</c:formatCode>
                <c:ptCount val="5"/>
                <c:pt idx="0">
                  <c:v>-2750</c:v>
                </c:pt>
                <c:pt idx="1">
                  <c:v>2750</c:v>
                </c:pt>
                <c:pt idx="2">
                  <c:v>-1050</c:v>
                </c:pt>
                <c:pt idx="3">
                  <c:v>3250</c:v>
                </c:pt>
                <c:pt idx="4">
                  <c:v>6040</c:v>
                </c:pt>
              </c:numCache>
            </c:numRef>
          </c:val>
          <c:smooth val="0"/>
          <c:extLst>
            <c:ext xmlns:c16="http://schemas.microsoft.com/office/drawing/2014/chart" uri="{C3380CC4-5D6E-409C-BE32-E72D297353CC}">
              <c16:uniqueId val="{0000001E-F7F9-4B86-9FC7-A9698D66BBF8}"/>
            </c:ext>
          </c:extLst>
        </c:ser>
        <c:ser>
          <c:idx val="5"/>
          <c:order val="5"/>
          <c:tx>
            <c:strRef>
              <c:f>'Pivot Table 3'!$G$54:$G$55</c:f>
              <c:strCache>
                <c:ptCount val="1"/>
                <c:pt idx="0">
                  <c:v>6</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 3'!$A$56:$A$61</c:f>
              <c:strCache>
                <c:ptCount val="5"/>
                <c:pt idx="0">
                  <c:v>A</c:v>
                </c:pt>
                <c:pt idx="1">
                  <c:v>B</c:v>
                </c:pt>
                <c:pt idx="2">
                  <c:v>C</c:v>
                </c:pt>
                <c:pt idx="3">
                  <c:v>D</c:v>
                </c:pt>
                <c:pt idx="4">
                  <c:v>E</c:v>
                </c:pt>
              </c:strCache>
            </c:strRef>
          </c:cat>
          <c:val>
            <c:numRef>
              <c:f>'Pivot Table 3'!$G$56:$G$61</c:f>
              <c:numCache>
                <c:formatCode>General</c:formatCode>
                <c:ptCount val="5"/>
                <c:pt idx="0">
                  <c:v>-2750</c:v>
                </c:pt>
                <c:pt idx="1">
                  <c:v>2750</c:v>
                </c:pt>
                <c:pt idx="2">
                  <c:v>-1050</c:v>
                </c:pt>
                <c:pt idx="3">
                  <c:v>3250</c:v>
                </c:pt>
                <c:pt idx="4">
                  <c:v>6040</c:v>
                </c:pt>
              </c:numCache>
            </c:numRef>
          </c:val>
          <c:smooth val="0"/>
          <c:extLst>
            <c:ext xmlns:c16="http://schemas.microsoft.com/office/drawing/2014/chart" uri="{C3380CC4-5D6E-409C-BE32-E72D297353CC}">
              <c16:uniqueId val="{0000001F-F7F9-4B86-9FC7-A9698D66BBF8}"/>
            </c:ext>
          </c:extLst>
        </c:ser>
        <c:dLbls>
          <c:showLegendKey val="0"/>
          <c:showVal val="0"/>
          <c:showCatName val="0"/>
          <c:showSerName val="0"/>
          <c:showPercent val="0"/>
          <c:showBubbleSize val="0"/>
        </c:dLbls>
        <c:marker val="1"/>
        <c:smooth val="0"/>
        <c:axId val="486423376"/>
        <c:axId val="486416304"/>
      </c:lineChart>
      <c:catAx>
        <c:axId val="486423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Projects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416304"/>
        <c:crosses val="autoZero"/>
        <c:auto val="1"/>
        <c:lblAlgn val="ctr"/>
        <c:lblOffset val="100"/>
        <c:noMultiLvlLbl val="0"/>
      </c:catAx>
      <c:valAx>
        <c:axId val="486416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Cost</a:t>
                </a:r>
                <a:r>
                  <a:rPr lang="en-GB" baseline="0"/>
                  <a:t> Variance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42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 3!PivotTable24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Actual Cost Per Project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3'!$B$29:$B$30</c:f>
              <c:strCache>
                <c:ptCount val="1"/>
                <c:pt idx="0">
                  <c:v>1</c:v>
                </c:pt>
              </c:strCache>
            </c:strRef>
          </c:tx>
          <c:spPr>
            <a:solidFill>
              <a:schemeClr val="accent1"/>
            </a:solidFill>
            <a:ln>
              <a:noFill/>
            </a:ln>
            <a:effectLst/>
          </c:spPr>
          <c:invertIfNegative val="0"/>
          <c:cat>
            <c:strRef>
              <c:f>'Pivot Table 3'!$A$31:$A$36</c:f>
              <c:strCache>
                <c:ptCount val="5"/>
                <c:pt idx="0">
                  <c:v>A</c:v>
                </c:pt>
                <c:pt idx="1">
                  <c:v>B</c:v>
                </c:pt>
                <c:pt idx="2">
                  <c:v>C</c:v>
                </c:pt>
                <c:pt idx="3">
                  <c:v>D</c:v>
                </c:pt>
                <c:pt idx="4">
                  <c:v>E</c:v>
                </c:pt>
              </c:strCache>
            </c:strRef>
          </c:cat>
          <c:val>
            <c:numRef>
              <c:f>'Pivot Table 3'!$B$31:$B$36</c:f>
              <c:numCache>
                <c:formatCode>General</c:formatCode>
                <c:ptCount val="5"/>
                <c:pt idx="0">
                  <c:v>27700</c:v>
                </c:pt>
                <c:pt idx="1">
                  <c:v>26100</c:v>
                </c:pt>
                <c:pt idx="2">
                  <c:v>44050</c:v>
                </c:pt>
                <c:pt idx="3">
                  <c:v>45250</c:v>
                </c:pt>
                <c:pt idx="4">
                  <c:v>23040</c:v>
                </c:pt>
              </c:numCache>
            </c:numRef>
          </c:val>
          <c:extLst>
            <c:ext xmlns:c16="http://schemas.microsoft.com/office/drawing/2014/chart" uri="{C3380CC4-5D6E-409C-BE32-E72D297353CC}">
              <c16:uniqueId val="{00000000-AA32-41B4-8698-7137CDD88706}"/>
            </c:ext>
          </c:extLst>
        </c:ser>
        <c:ser>
          <c:idx val="1"/>
          <c:order val="1"/>
          <c:tx>
            <c:strRef>
              <c:f>'Pivot Table 3'!$C$29:$C$30</c:f>
              <c:strCache>
                <c:ptCount val="1"/>
                <c:pt idx="0">
                  <c:v>2</c:v>
                </c:pt>
              </c:strCache>
            </c:strRef>
          </c:tx>
          <c:spPr>
            <a:solidFill>
              <a:schemeClr val="accent2"/>
            </a:solidFill>
            <a:ln>
              <a:noFill/>
            </a:ln>
            <a:effectLst/>
          </c:spPr>
          <c:invertIfNegative val="0"/>
          <c:cat>
            <c:strRef>
              <c:f>'Pivot Table 3'!$A$31:$A$36</c:f>
              <c:strCache>
                <c:ptCount val="5"/>
                <c:pt idx="0">
                  <c:v>A</c:v>
                </c:pt>
                <c:pt idx="1">
                  <c:v>B</c:v>
                </c:pt>
                <c:pt idx="2">
                  <c:v>C</c:v>
                </c:pt>
                <c:pt idx="3">
                  <c:v>D</c:v>
                </c:pt>
                <c:pt idx="4">
                  <c:v>E</c:v>
                </c:pt>
              </c:strCache>
            </c:strRef>
          </c:cat>
          <c:val>
            <c:numRef>
              <c:f>'Pivot Table 3'!$C$31:$C$36</c:f>
              <c:numCache>
                <c:formatCode>General</c:formatCode>
                <c:ptCount val="5"/>
                <c:pt idx="0">
                  <c:v>27700</c:v>
                </c:pt>
                <c:pt idx="1">
                  <c:v>26100</c:v>
                </c:pt>
                <c:pt idx="2">
                  <c:v>44050</c:v>
                </c:pt>
                <c:pt idx="3">
                  <c:v>45250</c:v>
                </c:pt>
                <c:pt idx="4">
                  <c:v>23040</c:v>
                </c:pt>
              </c:numCache>
            </c:numRef>
          </c:val>
          <c:extLst>
            <c:ext xmlns:c16="http://schemas.microsoft.com/office/drawing/2014/chart" uri="{C3380CC4-5D6E-409C-BE32-E72D297353CC}">
              <c16:uniqueId val="{0000001B-AA32-41B4-8698-7137CDD88706}"/>
            </c:ext>
          </c:extLst>
        </c:ser>
        <c:ser>
          <c:idx val="2"/>
          <c:order val="2"/>
          <c:tx>
            <c:strRef>
              <c:f>'Pivot Table 3'!$D$29:$D$30</c:f>
              <c:strCache>
                <c:ptCount val="1"/>
                <c:pt idx="0">
                  <c:v>3</c:v>
                </c:pt>
              </c:strCache>
            </c:strRef>
          </c:tx>
          <c:spPr>
            <a:solidFill>
              <a:schemeClr val="accent3"/>
            </a:solidFill>
            <a:ln>
              <a:noFill/>
            </a:ln>
            <a:effectLst/>
          </c:spPr>
          <c:invertIfNegative val="0"/>
          <c:cat>
            <c:strRef>
              <c:f>'Pivot Table 3'!$A$31:$A$36</c:f>
              <c:strCache>
                <c:ptCount val="5"/>
                <c:pt idx="0">
                  <c:v>A</c:v>
                </c:pt>
                <c:pt idx="1">
                  <c:v>B</c:v>
                </c:pt>
                <c:pt idx="2">
                  <c:v>C</c:v>
                </c:pt>
                <c:pt idx="3">
                  <c:v>D</c:v>
                </c:pt>
                <c:pt idx="4">
                  <c:v>E</c:v>
                </c:pt>
              </c:strCache>
            </c:strRef>
          </c:cat>
          <c:val>
            <c:numRef>
              <c:f>'Pivot Table 3'!$D$31:$D$36</c:f>
              <c:numCache>
                <c:formatCode>General</c:formatCode>
                <c:ptCount val="5"/>
                <c:pt idx="0">
                  <c:v>27700</c:v>
                </c:pt>
                <c:pt idx="1">
                  <c:v>26100</c:v>
                </c:pt>
                <c:pt idx="2">
                  <c:v>44050</c:v>
                </c:pt>
                <c:pt idx="3">
                  <c:v>45250</c:v>
                </c:pt>
                <c:pt idx="4">
                  <c:v>23040</c:v>
                </c:pt>
              </c:numCache>
            </c:numRef>
          </c:val>
          <c:extLst>
            <c:ext xmlns:c16="http://schemas.microsoft.com/office/drawing/2014/chart" uri="{C3380CC4-5D6E-409C-BE32-E72D297353CC}">
              <c16:uniqueId val="{0000001C-AA32-41B4-8698-7137CDD88706}"/>
            </c:ext>
          </c:extLst>
        </c:ser>
        <c:ser>
          <c:idx val="3"/>
          <c:order val="3"/>
          <c:tx>
            <c:strRef>
              <c:f>'Pivot Table 3'!$E$29:$E$30</c:f>
              <c:strCache>
                <c:ptCount val="1"/>
                <c:pt idx="0">
                  <c:v>4</c:v>
                </c:pt>
              </c:strCache>
            </c:strRef>
          </c:tx>
          <c:spPr>
            <a:solidFill>
              <a:schemeClr val="accent4"/>
            </a:solidFill>
            <a:ln>
              <a:noFill/>
            </a:ln>
            <a:effectLst/>
          </c:spPr>
          <c:invertIfNegative val="0"/>
          <c:cat>
            <c:strRef>
              <c:f>'Pivot Table 3'!$A$31:$A$36</c:f>
              <c:strCache>
                <c:ptCount val="5"/>
                <c:pt idx="0">
                  <c:v>A</c:v>
                </c:pt>
                <c:pt idx="1">
                  <c:v>B</c:v>
                </c:pt>
                <c:pt idx="2">
                  <c:v>C</c:v>
                </c:pt>
                <c:pt idx="3">
                  <c:v>D</c:v>
                </c:pt>
                <c:pt idx="4">
                  <c:v>E</c:v>
                </c:pt>
              </c:strCache>
            </c:strRef>
          </c:cat>
          <c:val>
            <c:numRef>
              <c:f>'Pivot Table 3'!$E$31:$E$36</c:f>
              <c:numCache>
                <c:formatCode>General</c:formatCode>
                <c:ptCount val="5"/>
                <c:pt idx="0">
                  <c:v>28350</c:v>
                </c:pt>
                <c:pt idx="1">
                  <c:v>19100</c:v>
                </c:pt>
                <c:pt idx="2">
                  <c:v>37050</c:v>
                </c:pt>
                <c:pt idx="3">
                  <c:v>45250</c:v>
                </c:pt>
                <c:pt idx="4">
                  <c:v>23040</c:v>
                </c:pt>
              </c:numCache>
            </c:numRef>
          </c:val>
          <c:extLst>
            <c:ext xmlns:c16="http://schemas.microsoft.com/office/drawing/2014/chart" uri="{C3380CC4-5D6E-409C-BE32-E72D297353CC}">
              <c16:uniqueId val="{0000001D-AA32-41B4-8698-7137CDD88706}"/>
            </c:ext>
          </c:extLst>
        </c:ser>
        <c:ser>
          <c:idx val="4"/>
          <c:order val="4"/>
          <c:tx>
            <c:strRef>
              <c:f>'Pivot Table 3'!$F$29:$F$30</c:f>
              <c:strCache>
                <c:ptCount val="1"/>
                <c:pt idx="0">
                  <c:v>5</c:v>
                </c:pt>
              </c:strCache>
            </c:strRef>
          </c:tx>
          <c:spPr>
            <a:solidFill>
              <a:schemeClr val="accent5"/>
            </a:solidFill>
            <a:ln>
              <a:noFill/>
            </a:ln>
            <a:effectLst/>
          </c:spPr>
          <c:invertIfNegative val="0"/>
          <c:cat>
            <c:strRef>
              <c:f>'Pivot Table 3'!$A$31:$A$36</c:f>
              <c:strCache>
                <c:ptCount val="5"/>
                <c:pt idx="0">
                  <c:v>A</c:v>
                </c:pt>
                <c:pt idx="1">
                  <c:v>B</c:v>
                </c:pt>
                <c:pt idx="2">
                  <c:v>C</c:v>
                </c:pt>
                <c:pt idx="3">
                  <c:v>D</c:v>
                </c:pt>
                <c:pt idx="4">
                  <c:v>E</c:v>
                </c:pt>
              </c:strCache>
            </c:strRef>
          </c:cat>
          <c:val>
            <c:numRef>
              <c:f>'Pivot Table 3'!$F$31:$F$36</c:f>
              <c:numCache>
                <c:formatCode>General</c:formatCode>
                <c:ptCount val="5"/>
                <c:pt idx="0">
                  <c:v>28350</c:v>
                </c:pt>
                <c:pt idx="1">
                  <c:v>19100</c:v>
                </c:pt>
                <c:pt idx="2">
                  <c:v>37050</c:v>
                </c:pt>
                <c:pt idx="3">
                  <c:v>45250</c:v>
                </c:pt>
                <c:pt idx="4">
                  <c:v>23040</c:v>
                </c:pt>
              </c:numCache>
            </c:numRef>
          </c:val>
          <c:extLst>
            <c:ext xmlns:c16="http://schemas.microsoft.com/office/drawing/2014/chart" uri="{C3380CC4-5D6E-409C-BE32-E72D297353CC}">
              <c16:uniqueId val="{0000001E-AA32-41B4-8698-7137CDD88706}"/>
            </c:ext>
          </c:extLst>
        </c:ser>
        <c:ser>
          <c:idx val="5"/>
          <c:order val="5"/>
          <c:tx>
            <c:strRef>
              <c:f>'Pivot Table 3'!$G$29:$G$30</c:f>
              <c:strCache>
                <c:ptCount val="1"/>
                <c:pt idx="0">
                  <c:v>6</c:v>
                </c:pt>
              </c:strCache>
            </c:strRef>
          </c:tx>
          <c:spPr>
            <a:solidFill>
              <a:schemeClr val="accent6"/>
            </a:solidFill>
            <a:ln>
              <a:noFill/>
            </a:ln>
            <a:effectLst/>
          </c:spPr>
          <c:invertIfNegative val="0"/>
          <c:cat>
            <c:strRef>
              <c:f>'Pivot Table 3'!$A$31:$A$36</c:f>
              <c:strCache>
                <c:ptCount val="5"/>
                <c:pt idx="0">
                  <c:v>A</c:v>
                </c:pt>
                <c:pt idx="1">
                  <c:v>B</c:v>
                </c:pt>
                <c:pt idx="2">
                  <c:v>C</c:v>
                </c:pt>
                <c:pt idx="3">
                  <c:v>D</c:v>
                </c:pt>
                <c:pt idx="4">
                  <c:v>E</c:v>
                </c:pt>
              </c:strCache>
            </c:strRef>
          </c:cat>
          <c:val>
            <c:numRef>
              <c:f>'Pivot Table 3'!$G$31:$G$36</c:f>
              <c:numCache>
                <c:formatCode>General</c:formatCode>
                <c:ptCount val="5"/>
                <c:pt idx="0">
                  <c:v>28350</c:v>
                </c:pt>
                <c:pt idx="1">
                  <c:v>19100</c:v>
                </c:pt>
                <c:pt idx="2">
                  <c:v>37050</c:v>
                </c:pt>
                <c:pt idx="3">
                  <c:v>45250</c:v>
                </c:pt>
                <c:pt idx="4">
                  <c:v>23040</c:v>
                </c:pt>
              </c:numCache>
            </c:numRef>
          </c:val>
          <c:extLst>
            <c:ext xmlns:c16="http://schemas.microsoft.com/office/drawing/2014/chart" uri="{C3380CC4-5D6E-409C-BE32-E72D297353CC}">
              <c16:uniqueId val="{0000001F-AA32-41B4-8698-7137CDD88706}"/>
            </c:ext>
          </c:extLst>
        </c:ser>
        <c:dLbls>
          <c:showLegendKey val="0"/>
          <c:showVal val="0"/>
          <c:showCatName val="0"/>
          <c:showSerName val="0"/>
          <c:showPercent val="0"/>
          <c:showBubbleSize val="0"/>
        </c:dLbls>
        <c:gapWidth val="150"/>
        <c:overlap val="100"/>
        <c:axId val="2080163568"/>
        <c:axId val="2080143184"/>
      </c:barChart>
      <c:catAx>
        <c:axId val="2080163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Project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143184"/>
        <c:crosses val="autoZero"/>
        <c:auto val="1"/>
        <c:lblAlgn val="ctr"/>
        <c:lblOffset val="100"/>
        <c:noMultiLvlLbl val="0"/>
      </c:catAx>
      <c:valAx>
        <c:axId val="2080143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Actual</a:t>
                </a:r>
                <a:r>
                  <a:rPr lang="en-GB" baseline="0"/>
                  <a:t> Cost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16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Project</a:t>
            </a:r>
            <a:r>
              <a:rPr lang="en-GB" baseline="0"/>
              <a:t>s Over or Under Budgeted Cost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Total Budget Costs</c:v>
                </c:pt>
              </c:strCache>
            </c:strRef>
          </c:tx>
          <c:spPr>
            <a:solidFill>
              <a:schemeClr val="accent1"/>
            </a:solidFill>
            <a:ln>
              <a:noFill/>
            </a:ln>
            <a:effectLst/>
          </c:spPr>
          <c:invertIfNegative val="0"/>
          <c:cat>
            <c:strRef>
              <c:f>'Pivot Table'!$A$3:$A$8</c:f>
              <c:strCache>
                <c:ptCount val="5"/>
                <c:pt idx="0">
                  <c:v>Project A</c:v>
                </c:pt>
                <c:pt idx="1">
                  <c:v>Project B</c:v>
                </c:pt>
                <c:pt idx="2">
                  <c:v>Project C</c:v>
                </c:pt>
                <c:pt idx="3">
                  <c:v>Project D</c:v>
                </c:pt>
                <c:pt idx="4">
                  <c:v>Project E</c:v>
                </c:pt>
              </c:strCache>
            </c:strRef>
          </c:cat>
          <c:val>
            <c:numRef>
              <c:f>'Pivot Table'!$B$3:$B$8</c:f>
              <c:numCache>
                <c:formatCode>General</c:formatCode>
                <c:ptCount val="5"/>
                <c:pt idx="0">
                  <c:v>153600</c:v>
                </c:pt>
                <c:pt idx="1">
                  <c:v>131100</c:v>
                </c:pt>
                <c:pt idx="2">
                  <c:v>216000</c:v>
                </c:pt>
                <c:pt idx="3">
                  <c:v>291000</c:v>
                </c:pt>
                <c:pt idx="4">
                  <c:v>174480</c:v>
                </c:pt>
              </c:numCache>
            </c:numRef>
          </c:val>
          <c:extLst>
            <c:ext xmlns:c16="http://schemas.microsoft.com/office/drawing/2014/chart" uri="{C3380CC4-5D6E-409C-BE32-E72D297353CC}">
              <c16:uniqueId val="{00000000-3715-4A51-B01B-DDF552806614}"/>
            </c:ext>
          </c:extLst>
        </c:ser>
        <c:ser>
          <c:idx val="1"/>
          <c:order val="1"/>
          <c:tx>
            <c:strRef>
              <c:f>'Pivot Table'!$C$2</c:f>
              <c:strCache>
                <c:ptCount val="1"/>
                <c:pt idx="0">
                  <c:v>Total Actual Costs</c:v>
                </c:pt>
              </c:strCache>
            </c:strRef>
          </c:tx>
          <c:spPr>
            <a:solidFill>
              <a:schemeClr val="accent2"/>
            </a:solidFill>
            <a:ln>
              <a:noFill/>
            </a:ln>
            <a:effectLst/>
          </c:spPr>
          <c:invertIfNegative val="0"/>
          <c:cat>
            <c:strRef>
              <c:f>'Pivot Table'!$A$3:$A$8</c:f>
              <c:strCache>
                <c:ptCount val="5"/>
                <c:pt idx="0">
                  <c:v>Project A</c:v>
                </c:pt>
                <c:pt idx="1">
                  <c:v>Project B</c:v>
                </c:pt>
                <c:pt idx="2">
                  <c:v>Project C</c:v>
                </c:pt>
                <c:pt idx="3">
                  <c:v>Project D</c:v>
                </c:pt>
                <c:pt idx="4">
                  <c:v>Project E</c:v>
                </c:pt>
              </c:strCache>
            </c:strRef>
          </c:cat>
          <c:val>
            <c:numRef>
              <c:f>'Pivot Table'!$C$3:$C$8</c:f>
              <c:numCache>
                <c:formatCode>General</c:formatCode>
                <c:ptCount val="5"/>
                <c:pt idx="0">
                  <c:v>168150</c:v>
                </c:pt>
                <c:pt idx="1">
                  <c:v>135600</c:v>
                </c:pt>
                <c:pt idx="2">
                  <c:v>243300</c:v>
                </c:pt>
                <c:pt idx="3">
                  <c:v>271500</c:v>
                </c:pt>
                <c:pt idx="4">
                  <c:v>138240</c:v>
                </c:pt>
              </c:numCache>
            </c:numRef>
          </c:val>
          <c:extLst>
            <c:ext xmlns:c16="http://schemas.microsoft.com/office/drawing/2014/chart" uri="{C3380CC4-5D6E-409C-BE32-E72D297353CC}">
              <c16:uniqueId val="{00000001-3715-4A51-B01B-DDF552806614}"/>
            </c:ext>
          </c:extLst>
        </c:ser>
        <c:ser>
          <c:idx val="2"/>
          <c:order val="2"/>
          <c:tx>
            <c:strRef>
              <c:f>'Pivot Table'!$D$2</c:f>
              <c:strCache>
                <c:ptCount val="1"/>
                <c:pt idx="0">
                  <c:v>Sum of Cost Variance</c:v>
                </c:pt>
              </c:strCache>
            </c:strRef>
          </c:tx>
          <c:spPr>
            <a:solidFill>
              <a:srgbClr val="C00000"/>
            </a:solidFill>
            <a:ln>
              <a:noFill/>
            </a:ln>
            <a:effectLst/>
          </c:spPr>
          <c:invertIfNegative val="0"/>
          <c:cat>
            <c:strRef>
              <c:f>'Pivot Table'!$A$3:$A$8</c:f>
              <c:strCache>
                <c:ptCount val="5"/>
                <c:pt idx="0">
                  <c:v>Project A</c:v>
                </c:pt>
                <c:pt idx="1">
                  <c:v>Project B</c:v>
                </c:pt>
                <c:pt idx="2">
                  <c:v>Project C</c:v>
                </c:pt>
                <c:pt idx="3">
                  <c:v>Project D</c:v>
                </c:pt>
                <c:pt idx="4">
                  <c:v>Project E</c:v>
                </c:pt>
              </c:strCache>
            </c:strRef>
          </c:cat>
          <c:val>
            <c:numRef>
              <c:f>'Pivot Table'!$D$3:$D$8</c:f>
              <c:numCache>
                <c:formatCode>General</c:formatCode>
                <c:ptCount val="5"/>
                <c:pt idx="0">
                  <c:v>-14550</c:v>
                </c:pt>
                <c:pt idx="1">
                  <c:v>-4500</c:v>
                </c:pt>
                <c:pt idx="2">
                  <c:v>-27300</c:v>
                </c:pt>
                <c:pt idx="3">
                  <c:v>19500</c:v>
                </c:pt>
                <c:pt idx="4">
                  <c:v>36240</c:v>
                </c:pt>
              </c:numCache>
            </c:numRef>
          </c:val>
          <c:extLst>
            <c:ext xmlns:c16="http://schemas.microsoft.com/office/drawing/2014/chart" uri="{C3380CC4-5D6E-409C-BE32-E72D297353CC}">
              <c16:uniqueId val="{00000002-3715-4A51-B01B-DDF552806614}"/>
            </c:ext>
          </c:extLst>
        </c:ser>
        <c:dLbls>
          <c:showLegendKey val="0"/>
          <c:showVal val="0"/>
          <c:showCatName val="0"/>
          <c:showSerName val="0"/>
          <c:showPercent val="0"/>
          <c:showBubbleSize val="0"/>
        </c:dLbls>
        <c:gapWidth val="219"/>
        <c:overlap val="-27"/>
        <c:axId val="64231056"/>
        <c:axId val="64224816"/>
      </c:barChart>
      <c:catAx>
        <c:axId val="6423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Project</a:t>
                </a:r>
              </a:p>
            </c:rich>
          </c:tx>
          <c:layout>
            <c:manualLayout>
              <c:xMode val="edge"/>
              <c:yMode val="edge"/>
              <c:x val="0.45430745545808821"/>
              <c:y val="0.848804340633891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24816"/>
        <c:crosses val="autoZero"/>
        <c:auto val="1"/>
        <c:lblAlgn val="ctr"/>
        <c:lblOffset val="100"/>
        <c:noMultiLvlLbl val="0"/>
      </c:catAx>
      <c:valAx>
        <c:axId val="642248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31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Actual Personnel</a:t>
            </a:r>
            <a:r>
              <a:rPr lang="en-GB" baseline="0"/>
              <a:t> Cost Analysis Per Project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Table'!$B$20:$B$21</c:f>
              <c:strCache>
                <c:ptCount val="1"/>
                <c:pt idx="0">
                  <c:v>Project 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Table'!$A$22:$A$35</c:f>
              <c:strCache>
                <c:ptCount val="13"/>
                <c:pt idx="0">
                  <c:v>Monique</c:v>
                </c:pt>
                <c:pt idx="1">
                  <c:v>Erica</c:v>
                </c:pt>
                <c:pt idx="2">
                  <c:v>Crystal</c:v>
                </c:pt>
                <c:pt idx="3">
                  <c:v>Jim</c:v>
                </c:pt>
                <c:pt idx="4">
                  <c:v>Jenny</c:v>
                </c:pt>
                <c:pt idx="5">
                  <c:v>Sarah</c:v>
                </c:pt>
                <c:pt idx="6">
                  <c:v>George</c:v>
                </c:pt>
                <c:pt idx="7">
                  <c:v>Inigo</c:v>
                </c:pt>
                <c:pt idx="8">
                  <c:v>Gail</c:v>
                </c:pt>
                <c:pt idx="9">
                  <c:v>Stanley</c:v>
                </c:pt>
                <c:pt idx="10">
                  <c:v>Sondra</c:v>
                </c:pt>
                <c:pt idx="11">
                  <c:v>Larry</c:v>
                </c:pt>
                <c:pt idx="12">
                  <c:v>Tom</c:v>
                </c:pt>
              </c:strCache>
            </c:strRef>
          </c:cat>
          <c:val>
            <c:numRef>
              <c:f>'Pivot Table'!$B$22:$B$35</c:f>
              <c:numCache>
                <c:formatCode>General</c:formatCode>
                <c:ptCount val="13"/>
                <c:pt idx="0">
                  <c:v>25200</c:v>
                </c:pt>
                <c:pt idx="3">
                  <c:v>86400</c:v>
                </c:pt>
                <c:pt idx="4">
                  <c:v>18000</c:v>
                </c:pt>
                <c:pt idx="8">
                  <c:v>17100</c:v>
                </c:pt>
                <c:pt idx="9">
                  <c:v>3600</c:v>
                </c:pt>
                <c:pt idx="12">
                  <c:v>17850</c:v>
                </c:pt>
              </c:numCache>
            </c:numRef>
          </c:val>
          <c:smooth val="0"/>
          <c:extLst>
            <c:ext xmlns:c16="http://schemas.microsoft.com/office/drawing/2014/chart" uri="{C3380CC4-5D6E-409C-BE32-E72D297353CC}">
              <c16:uniqueId val="{00000000-AC80-4DC5-B076-FB7230B1F5F7}"/>
            </c:ext>
          </c:extLst>
        </c:ser>
        <c:ser>
          <c:idx val="1"/>
          <c:order val="1"/>
          <c:tx>
            <c:strRef>
              <c:f>'Pivot Table'!$C$20:$C$21</c:f>
              <c:strCache>
                <c:ptCount val="1"/>
                <c:pt idx="0">
                  <c:v>Project B</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Table'!$A$22:$A$35</c:f>
              <c:strCache>
                <c:ptCount val="13"/>
                <c:pt idx="0">
                  <c:v>Monique</c:v>
                </c:pt>
                <c:pt idx="1">
                  <c:v>Erica</c:v>
                </c:pt>
                <c:pt idx="2">
                  <c:v>Crystal</c:v>
                </c:pt>
                <c:pt idx="3">
                  <c:v>Jim</c:v>
                </c:pt>
                <c:pt idx="4">
                  <c:v>Jenny</c:v>
                </c:pt>
                <c:pt idx="5">
                  <c:v>Sarah</c:v>
                </c:pt>
                <c:pt idx="6">
                  <c:v>George</c:v>
                </c:pt>
                <c:pt idx="7">
                  <c:v>Inigo</c:v>
                </c:pt>
                <c:pt idx="8">
                  <c:v>Gail</c:v>
                </c:pt>
                <c:pt idx="9">
                  <c:v>Stanley</c:v>
                </c:pt>
                <c:pt idx="10">
                  <c:v>Sondra</c:v>
                </c:pt>
                <c:pt idx="11">
                  <c:v>Larry</c:v>
                </c:pt>
                <c:pt idx="12">
                  <c:v>Tom</c:v>
                </c:pt>
              </c:strCache>
            </c:strRef>
          </c:cat>
          <c:val>
            <c:numRef>
              <c:f>'Pivot Table'!$C$22:$C$35</c:f>
              <c:numCache>
                <c:formatCode>General</c:formatCode>
                <c:ptCount val="13"/>
                <c:pt idx="0">
                  <c:v>25200</c:v>
                </c:pt>
                <c:pt idx="1">
                  <c:v>63000</c:v>
                </c:pt>
                <c:pt idx="4">
                  <c:v>22500</c:v>
                </c:pt>
                <c:pt idx="6">
                  <c:v>9000</c:v>
                </c:pt>
                <c:pt idx="8">
                  <c:v>8700</c:v>
                </c:pt>
                <c:pt idx="9">
                  <c:v>7200</c:v>
                </c:pt>
              </c:numCache>
            </c:numRef>
          </c:val>
          <c:smooth val="0"/>
          <c:extLst>
            <c:ext xmlns:c16="http://schemas.microsoft.com/office/drawing/2014/chart" uri="{C3380CC4-5D6E-409C-BE32-E72D297353CC}">
              <c16:uniqueId val="{00000039-AC80-4DC5-B076-FB7230B1F5F7}"/>
            </c:ext>
          </c:extLst>
        </c:ser>
        <c:ser>
          <c:idx val="2"/>
          <c:order val="2"/>
          <c:tx>
            <c:strRef>
              <c:f>'Pivot Table'!$D$20:$D$21</c:f>
              <c:strCache>
                <c:ptCount val="1"/>
                <c:pt idx="0">
                  <c:v>Project C</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Table'!$A$22:$A$35</c:f>
              <c:strCache>
                <c:ptCount val="13"/>
                <c:pt idx="0">
                  <c:v>Monique</c:v>
                </c:pt>
                <c:pt idx="1">
                  <c:v>Erica</c:v>
                </c:pt>
                <c:pt idx="2">
                  <c:v>Crystal</c:v>
                </c:pt>
                <c:pt idx="3">
                  <c:v>Jim</c:v>
                </c:pt>
                <c:pt idx="4">
                  <c:v>Jenny</c:v>
                </c:pt>
                <c:pt idx="5">
                  <c:v>Sarah</c:v>
                </c:pt>
                <c:pt idx="6">
                  <c:v>George</c:v>
                </c:pt>
                <c:pt idx="7">
                  <c:v>Inigo</c:v>
                </c:pt>
                <c:pt idx="8">
                  <c:v>Gail</c:v>
                </c:pt>
                <c:pt idx="9">
                  <c:v>Stanley</c:v>
                </c:pt>
                <c:pt idx="10">
                  <c:v>Sondra</c:v>
                </c:pt>
                <c:pt idx="11">
                  <c:v>Larry</c:v>
                </c:pt>
                <c:pt idx="12">
                  <c:v>Tom</c:v>
                </c:pt>
              </c:strCache>
            </c:strRef>
          </c:cat>
          <c:val>
            <c:numRef>
              <c:f>'Pivot Table'!$D$22:$D$35</c:f>
              <c:numCache>
                <c:formatCode>General</c:formatCode>
                <c:ptCount val="13"/>
                <c:pt idx="0">
                  <c:v>75600</c:v>
                </c:pt>
                <c:pt idx="1">
                  <c:v>63000</c:v>
                </c:pt>
                <c:pt idx="4">
                  <c:v>36000</c:v>
                </c:pt>
                <c:pt idx="6">
                  <c:v>27000</c:v>
                </c:pt>
                <c:pt idx="8">
                  <c:v>10500</c:v>
                </c:pt>
                <c:pt idx="9">
                  <c:v>14400</c:v>
                </c:pt>
                <c:pt idx="12">
                  <c:v>16800</c:v>
                </c:pt>
              </c:numCache>
            </c:numRef>
          </c:val>
          <c:smooth val="0"/>
          <c:extLst>
            <c:ext xmlns:c16="http://schemas.microsoft.com/office/drawing/2014/chart" uri="{C3380CC4-5D6E-409C-BE32-E72D297353CC}">
              <c16:uniqueId val="{0000003D-AC80-4DC5-B076-FB7230B1F5F7}"/>
            </c:ext>
          </c:extLst>
        </c:ser>
        <c:ser>
          <c:idx val="3"/>
          <c:order val="3"/>
          <c:tx>
            <c:strRef>
              <c:f>'Pivot Table'!$E$20:$E$21</c:f>
              <c:strCache>
                <c:ptCount val="1"/>
                <c:pt idx="0">
                  <c:v>Project D</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'Pivot Table'!$A$22:$A$35</c:f>
              <c:strCache>
                <c:ptCount val="13"/>
                <c:pt idx="0">
                  <c:v>Monique</c:v>
                </c:pt>
                <c:pt idx="1">
                  <c:v>Erica</c:v>
                </c:pt>
                <c:pt idx="2">
                  <c:v>Crystal</c:v>
                </c:pt>
                <c:pt idx="3">
                  <c:v>Jim</c:v>
                </c:pt>
                <c:pt idx="4">
                  <c:v>Jenny</c:v>
                </c:pt>
                <c:pt idx="5">
                  <c:v>Sarah</c:v>
                </c:pt>
                <c:pt idx="6">
                  <c:v>George</c:v>
                </c:pt>
                <c:pt idx="7">
                  <c:v>Inigo</c:v>
                </c:pt>
                <c:pt idx="8">
                  <c:v>Gail</c:v>
                </c:pt>
                <c:pt idx="9">
                  <c:v>Stanley</c:v>
                </c:pt>
                <c:pt idx="10">
                  <c:v>Sondra</c:v>
                </c:pt>
                <c:pt idx="11">
                  <c:v>Larry</c:v>
                </c:pt>
                <c:pt idx="12">
                  <c:v>Tom</c:v>
                </c:pt>
              </c:strCache>
            </c:strRef>
          </c:cat>
          <c:val>
            <c:numRef>
              <c:f>'Pivot Table'!$E$22:$E$35</c:f>
              <c:numCache>
                <c:formatCode>General</c:formatCode>
                <c:ptCount val="13"/>
                <c:pt idx="2">
                  <c:v>86400</c:v>
                </c:pt>
                <c:pt idx="3">
                  <c:v>8100</c:v>
                </c:pt>
                <c:pt idx="5">
                  <c:v>76500</c:v>
                </c:pt>
                <c:pt idx="6">
                  <c:v>27000</c:v>
                </c:pt>
                <c:pt idx="7">
                  <c:v>62700</c:v>
                </c:pt>
                <c:pt idx="9">
                  <c:v>10800</c:v>
                </c:pt>
              </c:numCache>
            </c:numRef>
          </c:val>
          <c:smooth val="0"/>
          <c:extLst>
            <c:ext xmlns:c16="http://schemas.microsoft.com/office/drawing/2014/chart" uri="{C3380CC4-5D6E-409C-BE32-E72D297353CC}">
              <c16:uniqueId val="{0000003E-AC80-4DC5-B076-FB7230B1F5F7}"/>
            </c:ext>
          </c:extLst>
        </c:ser>
        <c:ser>
          <c:idx val="4"/>
          <c:order val="4"/>
          <c:tx>
            <c:strRef>
              <c:f>'Pivot Table'!$F$20:$F$21</c:f>
              <c:strCache>
                <c:ptCount val="1"/>
                <c:pt idx="0">
                  <c:v>Project E</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'Pivot Table'!$A$22:$A$35</c:f>
              <c:strCache>
                <c:ptCount val="13"/>
                <c:pt idx="0">
                  <c:v>Monique</c:v>
                </c:pt>
                <c:pt idx="1">
                  <c:v>Erica</c:v>
                </c:pt>
                <c:pt idx="2">
                  <c:v>Crystal</c:v>
                </c:pt>
                <c:pt idx="3">
                  <c:v>Jim</c:v>
                </c:pt>
                <c:pt idx="4">
                  <c:v>Jenny</c:v>
                </c:pt>
                <c:pt idx="5">
                  <c:v>Sarah</c:v>
                </c:pt>
                <c:pt idx="6">
                  <c:v>George</c:v>
                </c:pt>
                <c:pt idx="7">
                  <c:v>Inigo</c:v>
                </c:pt>
                <c:pt idx="8">
                  <c:v>Gail</c:v>
                </c:pt>
                <c:pt idx="9">
                  <c:v>Stanley</c:v>
                </c:pt>
                <c:pt idx="10">
                  <c:v>Sondra</c:v>
                </c:pt>
                <c:pt idx="11">
                  <c:v>Larry</c:v>
                </c:pt>
                <c:pt idx="12">
                  <c:v>Tom</c:v>
                </c:pt>
              </c:strCache>
            </c:strRef>
          </c:cat>
          <c:val>
            <c:numRef>
              <c:f>'Pivot Table'!$F$22:$F$35</c:f>
              <c:numCache>
                <c:formatCode>General</c:formatCode>
                <c:ptCount val="13"/>
                <c:pt idx="2">
                  <c:v>21600</c:v>
                </c:pt>
                <c:pt idx="6">
                  <c:v>9000</c:v>
                </c:pt>
                <c:pt idx="8">
                  <c:v>15000</c:v>
                </c:pt>
                <c:pt idx="9">
                  <c:v>7200</c:v>
                </c:pt>
                <c:pt idx="10">
                  <c:v>43200</c:v>
                </c:pt>
                <c:pt idx="11">
                  <c:v>42240</c:v>
                </c:pt>
              </c:numCache>
            </c:numRef>
          </c:val>
          <c:smooth val="0"/>
          <c:extLst>
            <c:ext xmlns:c16="http://schemas.microsoft.com/office/drawing/2014/chart" uri="{C3380CC4-5D6E-409C-BE32-E72D297353CC}">
              <c16:uniqueId val="{0000003F-AC80-4DC5-B076-FB7230B1F5F7}"/>
            </c:ext>
          </c:extLst>
        </c:ser>
        <c:dLbls>
          <c:showLegendKey val="0"/>
          <c:showVal val="0"/>
          <c:showCatName val="0"/>
          <c:showSerName val="0"/>
          <c:showPercent val="0"/>
          <c:showBubbleSize val="0"/>
        </c:dLbls>
        <c:marker val="1"/>
        <c:smooth val="0"/>
        <c:axId val="2078299744"/>
        <c:axId val="2078291008"/>
      </c:lineChart>
      <c:catAx>
        <c:axId val="207829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291008"/>
        <c:crosses val="autoZero"/>
        <c:auto val="1"/>
        <c:lblAlgn val="ctr"/>
        <c:lblOffset val="100"/>
        <c:noMultiLvlLbl val="0"/>
      </c:catAx>
      <c:valAx>
        <c:axId val="207829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29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Table!PivotTable14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Personnel Per Budgeted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Table'!$B$42</c:f>
              <c:strCache>
                <c:ptCount val="1"/>
                <c:pt idx="0">
                  <c:v>Avg of Total Budgeted Hours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Table'!$A$43:$A$56</c:f>
              <c:strCache>
                <c:ptCount val="13"/>
                <c:pt idx="0">
                  <c:v>Stanley</c:v>
                </c:pt>
                <c:pt idx="1">
                  <c:v>Gail</c:v>
                </c:pt>
                <c:pt idx="2">
                  <c:v>George</c:v>
                </c:pt>
                <c:pt idx="3">
                  <c:v>Crystal</c:v>
                </c:pt>
                <c:pt idx="4">
                  <c:v>Erica</c:v>
                </c:pt>
                <c:pt idx="5">
                  <c:v>Monique</c:v>
                </c:pt>
                <c:pt idx="6">
                  <c:v>Jenny</c:v>
                </c:pt>
                <c:pt idx="7">
                  <c:v>Jim</c:v>
                </c:pt>
                <c:pt idx="8">
                  <c:v>Tom</c:v>
                </c:pt>
                <c:pt idx="9">
                  <c:v>Sarah</c:v>
                </c:pt>
                <c:pt idx="10">
                  <c:v>Sondra</c:v>
                </c:pt>
                <c:pt idx="11">
                  <c:v>Larry</c:v>
                </c:pt>
                <c:pt idx="12">
                  <c:v>Inigo</c:v>
                </c:pt>
              </c:strCache>
            </c:strRef>
          </c:cat>
          <c:val>
            <c:numRef>
              <c:f>'Pivot Table'!$B$43:$B$56</c:f>
              <c:numCache>
                <c:formatCode>General</c:formatCode>
                <c:ptCount val="13"/>
                <c:pt idx="0">
                  <c:v>60</c:v>
                </c:pt>
                <c:pt idx="1">
                  <c:v>116.25</c:v>
                </c:pt>
                <c:pt idx="2">
                  <c:v>120</c:v>
                </c:pt>
                <c:pt idx="3">
                  <c:v>180</c:v>
                </c:pt>
                <c:pt idx="4">
                  <c:v>240</c:v>
                </c:pt>
                <c:pt idx="5">
                  <c:v>240</c:v>
                </c:pt>
                <c:pt idx="6">
                  <c:v>320</c:v>
                </c:pt>
                <c:pt idx="7">
                  <c:v>480</c:v>
                </c:pt>
                <c:pt idx="8">
                  <c:v>480</c:v>
                </c:pt>
                <c:pt idx="9">
                  <c:v>480</c:v>
                </c:pt>
                <c:pt idx="10">
                  <c:v>960</c:v>
                </c:pt>
                <c:pt idx="11">
                  <c:v>960</c:v>
                </c:pt>
                <c:pt idx="12">
                  <c:v>960</c:v>
                </c:pt>
              </c:numCache>
            </c:numRef>
          </c:val>
          <c:smooth val="0"/>
          <c:extLst>
            <c:ext xmlns:c16="http://schemas.microsoft.com/office/drawing/2014/chart" uri="{C3380CC4-5D6E-409C-BE32-E72D297353CC}">
              <c16:uniqueId val="{00000000-ECD6-489B-A813-C533FF82F3AF}"/>
            </c:ext>
          </c:extLst>
        </c:ser>
        <c:ser>
          <c:idx val="1"/>
          <c:order val="1"/>
          <c:tx>
            <c:strRef>
              <c:f>'Pivot Table'!$C$42</c:f>
              <c:strCache>
                <c:ptCount val="1"/>
                <c:pt idx="0">
                  <c:v>Avg of Total Actual Hours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Table'!$A$43:$A$56</c:f>
              <c:strCache>
                <c:ptCount val="13"/>
                <c:pt idx="0">
                  <c:v>Stanley</c:v>
                </c:pt>
                <c:pt idx="1">
                  <c:v>Gail</c:v>
                </c:pt>
                <c:pt idx="2">
                  <c:v>George</c:v>
                </c:pt>
                <c:pt idx="3">
                  <c:v>Crystal</c:v>
                </c:pt>
                <c:pt idx="4">
                  <c:v>Erica</c:v>
                </c:pt>
                <c:pt idx="5">
                  <c:v>Monique</c:v>
                </c:pt>
                <c:pt idx="6">
                  <c:v>Jenny</c:v>
                </c:pt>
                <c:pt idx="7">
                  <c:v>Jim</c:v>
                </c:pt>
                <c:pt idx="8">
                  <c:v>Tom</c:v>
                </c:pt>
                <c:pt idx="9">
                  <c:v>Sarah</c:v>
                </c:pt>
                <c:pt idx="10">
                  <c:v>Sondra</c:v>
                </c:pt>
                <c:pt idx="11">
                  <c:v>Larry</c:v>
                </c:pt>
                <c:pt idx="12">
                  <c:v>Inigo</c:v>
                </c:pt>
              </c:strCache>
            </c:strRef>
          </c:cat>
          <c:val>
            <c:numRef>
              <c:f>'Pivot Table'!$C$43:$C$56</c:f>
              <c:numCache>
                <c:formatCode>General</c:formatCode>
                <c:ptCount val="13"/>
                <c:pt idx="0">
                  <c:v>72</c:v>
                </c:pt>
                <c:pt idx="1">
                  <c:v>128.25</c:v>
                </c:pt>
                <c:pt idx="2">
                  <c:v>150</c:v>
                </c:pt>
                <c:pt idx="3">
                  <c:v>180</c:v>
                </c:pt>
                <c:pt idx="4">
                  <c:v>225</c:v>
                </c:pt>
                <c:pt idx="5">
                  <c:v>300</c:v>
                </c:pt>
                <c:pt idx="6">
                  <c:v>340</c:v>
                </c:pt>
                <c:pt idx="7">
                  <c:v>525</c:v>
                </c:pt>
                <c:pt idx="8">
                  <c:v>495</c:v>
                </c:pt>
                <c:pt idx="9">
                  <c:v>510</c:v>
                </c:pt>
                <c:pt idx="10">
                  <c:v>960</c:v>
                </c:pt>
                <c:pt idx="11">
                  <c:v>480</c:v>
                </c:pt>
                <c:pt idx="12">
                  <c:v>660</c:v>
                </c:pt>
              </c:numCache>
            </c:numRef>
          </c:val>
          <c:smooth val="0"/>
          <c:extLst>
            <c:ext xmlns:c16="http://schemas.microsoft.com/office/drawing/2014/chart" uri="{C3380CC4-5D6E-409C-BE32-E72D297353CC}">
              <c16:uniqueId val="{00000001-ECD6-489B-A813-C533FF82F3AF}"/>
            </c:ext>
          </c:extLst>
        </c:ser>
        <c:dLbls>
          <c:showLegendKey val="0"/>
          <c:showVal val="0"/>
          <c:showCatName val="0"/>
          <c:showSerName val="0"/>
          <c:showPercent val="0"/>
          <c:showBubbleSize val="0"/>
        </c:dLbls>
        <c:marker val="1"/>
        <c:smooth val="0"/>
        <c:axId val="484585824"/>
        <c:axId val="484586240"/>
      </c:lineChart>
      <c:catAx>
        <c:axId val="484585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Personnel</a:t>
                </a:r>
              </a:p>
            </c:rich>
          </c:tx>
          <c:layout>
            <c:manualLayout>
              <c:xMode val="edge"/>
              <c:yMode val="edge"/>
              <c:x val="0.41416791459349783"/>
              <c:y val="0.838018904353373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586240"/>
        <c:crosses val="autoZero"/>
        <c:auto val="1"/>
        <c:lblAlgn val="ctr"/>
        <c:lblOffset val="100"/>
        <c:noMultiLvlLbl val="0"/>
      </c:catAx>
      <c:valAx>
        <c:axId val="4845862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Budgeted</a:t>
                </a:r>
                <a:r>
                  <a:rPr lang="en-GB" baseline="0"/>
                  <a:t> Hours</a:t>
                </a:r>
                <a:endParaRPr lang="en-GB"/>
              </a:p>
            </c:rich>
          </c:tx>
          <c:layout>
            <c:manualLayout>
              <c:xMode val="edge"/>
              <c:yMode val="edge"/>
              <c:x val="2.4539877300613498E-2"/>
              <c:y val="0.28863892013498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58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 2!PivotTable16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Resource</a:t>
            </a:r>
            <a:r>
              <a:rPr lang="en-GB" baseline="0"/>
              <a:t> Utilization by Project and Personnel</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2'!$B$22:$B$23</c:f>
              <c:strCache>
                <c:ptCount val="1"/>
                <c:pt idx="0">
                  <c:v>Crystal</c:v>
                </c:pt>
              </c:strCache>
            </c:strRef>
          </c:tx>
          <c:spPr>
            <a:solidFill>
              <a:schemeClr val="accent1"/>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2'!$B$24:$B$29</c:f>
              <c:numCache>
                <c:formatCode>General</c:formatCode>
                <c:ptCount val="5"/>
                <c:pt idx="3">
                  <c:v>720</c:v>
                </c:pt>
                <c:pt idx="4">
                  <c:v>180</c:v>
                </c:pt>
              </c:numCache>
            </c:numRef>
          </c:val>
          <c:extLst>
            <c:ext xmlns:c16="http://schemas.microsoft.com/office/drawing/2014/chart" uri="{C3380CC4-5D6E-409C-BE32-E72D297353CC}">
              <c16:uniqueId val="{00000000-97D4-464C-B66F-DDAD4E2A9FB7}"/>
            </c:ext>
          </c:extLst>
        </c:ser>
        <c:ser>
          <c:idx val="1"/>
          <c:order val="1"/>
          <c:tx>
            <c:strRef>
              <c:f>'Pivot Table 2'!$C$22:$C$23</c:f>
              <c:strCache>
                <c:ptCount val="1"/>
                <c:pt idx="0">
                  <c:v>Erica</c:v>
                </c:pt>
              </c:strCache>
            </c:strRef>
          </c:tx>
          <c:spPr>
            <a:solidFill>
              <a:schemeClr val="accent2"/>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2'!$C$24:$C$29</c:f>
              <c:numCache>
                <c:formatCode>General</c:formatCode>
                <c:ptCount val="5"/>
                <c:pt idx="1">
                  <c:v>450</c:v>
                </c:pt>
                <c:pt idx="2">
                  <c:v>450</c:v>
                </c:pt>
              </c:numCache>
            </c:numRef>
          </c:val>
          <c:extLst>
            <c:ext xmlns:c16="http://schemas.microsoft.com/office/drawing/2014/chart" uri="{C3380CC4-5D6E-409C-BE32-E72D297353CC}">
              <c16:uniqueId val="{00000096-97D4-464C-B66F-DDAD4E2A9FB7}"/>
            </c:ext>
          </c:extLst>
        </c:ser>
        <c:ser>
          <c:idx val="2"/>
          <c:order val="2"/>
          <c:tx>
            <c:strRef>
              <c:f>'Pivot Table 2'!$D$22:$D$23</c:f>
              <c:strCache>
                <c:ptCount val="1"/>
                <c:pt idx="0">
                  <c:v>Gail</c:v>
                </c:pt>
              </c:strCache>
            </c:strRef>
          </c:tx>
          <c:spPr>
            <a:solidFill>
              <a:schemeClr val="accent3"/>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2'!$D$24:$D$29</c:f>
              <c:numCache>
                <c:formatCode>General</c:formatCode>
                <c:ptCount val="5"/>
                <c:pt idx="0">
                  <c:v>342</c:v>
                </c:pt>
                <c:pt idx="1">
                  <c:v>174</c:v>
                </c:pt>
                <c:pt idx="2">
                  <c:v>210</c:v>
                </c:pt>
                <c:pt idx="4">
                  <c:v>300</c:v>
                </c:pt>
              </c:numCache>
            </c:numRef>
          </c:val>
          <c:extLst>
            <c:ext xmlns:c16="http://schemas.microsoft.com/office/drawing/2014/chart" uri="{C3380CC4-5D6E-409C-BE32-E72D297353CC}">
              <c16:uniqueId val="{00000097-97D4-464C-B66F-DDAD4E2A9FB7}"/>
            </c:ext>
          </c:extLst>
        </c:ser>
        <c:ser>
          <c:idx val="3"/>
          <c:order val="3"/>
          <c:tx>
            <c:strRef>
              <c:f>'Pivot Table 2'!$E$22:$E$23</c:f>
              <c:strCache>
                <c:ptCount val="1"/>
                <c:pt idx="0">
                  <c:v>George</c:v>
                </c:pt>
              </c:strCache>
            </c:strRef>
          </c:tx>
          <c:spPr>
            <a:solidFill>
              <a:schemeClr val="accent4"/>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2'!$E$24:$E$29</c:f>
              <c:numCache>
                <c:formatCode>General</c:formatCode>
                <c:ptCount val="5"/>
                <c:pt idx="1">
                  <c:v>150</c:v>
                </c:pt>
                <c:pt idx="2">
                  <c:v>450</c:v>
                </c:pt>
                <c:pt idx="3">
                  <c:v>450</c:v>
                </c:pt>
                <c:pt idx="4">
                  <c:v>150</c:v>
                </c:pt>
              </c:numCache>
            </c:numRef>
          </c:val>
          <c:extLst>
            <c:ext xmlns:c16="http://schemas.microsoft.com/office/drawing/2014/chart" uri="{C3380CC4-5D6E-409C-BE32-E72D297353CC}">
              <c16:uniqueId val="{00000098-97D4-464C-B66F-DDAD4E2A9FB7}"/>
            </c:ext>
          </c:extLst>
        </c:ser>
        <c:ser>
          <c:idx val="4"/>
          <c:order val="4"/>
          <c:tx>
            <c:strRef>
              <c:f>'Pivot Table 2'!$F$22:$F$23</c:f>
              <c:strCache>
                <c:ptCount val="1"/>
                <c:pt idx="0">
                  <c:v>Inigo</c:v>
                </c:pt>
              </c:strCache>
            </c:strRef>
          </c:tx>
          <c:spPr>
            <a:solidFill>
              <a:schemeClr val="accent5"/>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2'!$F$24:$F$29</c:f>
              <c:numCache>
                <c:formatCode>General</c:formatCode>
                <c:ptCount val="5"/>
                <c:pt idx="3">
                  <c:v>660</c:v>
                </c:pt>
              </c:numCache>
            </c:numRef>
          </c:val>
          <c:extLst>
            <c:ext xmlns:c16="http://schemas.microsoft.com/office/drawing/2014/chart" uri="{C3380CC4-5D6E-409C-BE32-E72D297353CC}">
              <c16:uniqueId val="{00000099-97D4-464C-B66F-DDAD4E2A9FB7}"/>
            </c:ext>
          </c:extLst>
        </c:ser>
        <c:ser>
          <c:idx val="5"/>
          <c:order val="5"/>
          <c:tx>
            <c:strRef>
              <c:f>'Pivot Table 2'!$G$22:$G$23</c:f>
              <c:strCache>
                <c:ptCount val="1"/>
                <c:pt idx="0">
                  <c:v>Jenny</c:v>
                </c:pt>
              </c:strCache>
            </c:strRef>
          </c:tx>
          <c:spPr>
            <a:solidFill>
              <a:schemeClr val="accent6"/>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2'!$G$24:$G$29</c:f>
              <c:numCache>
                <c:formatCode>General</c:formatCode>
                <c:ptCount val="5"/>
                <c:pt idx="0">
                  <c:v>240</c:v>
                </c:pt>
                <c:pt idx="1">
                  <c:v>300</c:v>
                </c:pt>
                <c:pt idx="2">
                  <c:v>480</c:v>
                </c:pt>
              </c:numCache>
            </c:numRef>
          </c:val>
          <c:extLst>
            <c:ext xmlns:c16="http://schemas.microsoft.com/office/drawing/2014/chart" uri="{C3380CC4-5D6E-409C-BE32-E72D297353CC}">
              <c16:uniqueId val="{0000009A-97D4-464C-B66F-DDAD4E2A9FB7}"/>
            </c:ext>
          </c:extLst>
        </c:ser>
        <c:ser>
          <c:idx val="6"/>
          <c:order val="6"/>
          <c:tx>
            <c:strRef>
              <c:f>'Pivot Table 2'!$H$22:$H$23</c:f>
              <c:strCache>
                <c:ptCount val="1"/>
                <c:pt idx="0">
                  <c:v>Jim</c:v>
                </c:pt>
              </c:strCache>
            </c:strRef>
          </c:tx>
          <c:spPr>
            <a:solidFill>
              <a:schemeClr val="accent1">
                <a:lumMod val="60000"/>
              </a:schemeClr>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2'!$H$24:$H$29</c:f>
              <c:numCache>
                <c:formatCode>General</c:formatCode>
                <c:ptCount val="5"/>
                <c:pt idx="0">
                  <c:v>960</c:v>
                </c:pt>
                <c:pt idx="3">
                  <c:v>90</c:v>
                </c:pt>
              </c:numCache>
            </c:numRef>
          </c:val>
          <c:extLst>
            <c:ext xmlns:c16="http://schemas.microsoft.com/office/drawing/2014/chart" uri="{C3380CC4-5D6E-409C-BE32-E72D297353CC}">
              <c16:uniqueId val="{0000009B-97D4-464C-B66F-DDAD4E2A9FB7}"/>
            </c:ext>
          </c:extLst>
        </c:ser>
        <c:ser>
          <c:idx val="7"/>
          <c:order val="7"/>
          <c:tx>
            <c:strRef>
              <c:f>'Pivot Table 2'!$I$22:$I$23</c:f>
              <c:strCache>
                <c:ptCount val="1"/>
                <c:pt idx="0">
                  <c:v>Larry</c:v>
                </c:pt>
              </c:strCache>
            </c:strRef>
          </c:tx>
          <c:spPr>
            <a:solidFill>
              <a:schemeClr val="accent2">
                <a:lumMod val="60000"/>
              </a:schemeClr>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2'!$I$24:$I$29</c:f>
              <c:numCache>
                <c:formatCode>General</c:formatCode>
                <c:ptCount val="5"/>
                <c:pt idx="4">
                  <c:v>480</c:v>
                </c:pt>
              </c:numCache>
            </c:numRef>
          </c:val>
          <c:extLst>
            <c:ext xmlns:c16="http://schemas.microsoft.com/office/drawing/2014/chart" uri="{C3380CC4-5D6E-409C-BE32-E72D297353CC}">
              <c16:uniqueId val="{0000009C-97D4-464C-B66F-DDAD4E2A9FB7}"/>
            </c:ext>
          </c:extLst>
        </c:ser>
        <c:ser>
          <c:idx val="8"/>
          <c:order val="8"/>
          <c:tx>
            <c:strRef>
              <c:f>'Pivot Table 2'!$J$22:$J$23</c:f>
              <c:strCache>
                <c:ptCount val="1"/>
                <c:pt idx="0">
                  <c:v>Monique</c:v>
                </c:pt>
              </c:strCache>
            </c:strRef>
          </c:tx>
          <c:spPr>
            <a:solidFill>
              <a:schemeClr val="accent3">
                <a:lumMod val="60000"/>
              </a:schemeClr>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2'!$J$24:$J$29</c:f>
              <c:numCache>
                <c:formatCode>General</c:formatCode>
                <c:ptCount val="5"/>
                <c:pt idx="0">
                  <c:v>240</c:v>
                </c:pt>
                <c:pt idx="1">
                  <c:v>240</c:v>
                </c:pt>
                <c:pt idx="2">
                  <c:v>720</c:v>
                </c:pt>
              </c:numCache>
            </c:numRef>
          </c:val>
          <c:extLst>
            <c:ext xmlns:c16="http://schemas.microsoft.com/office/drawing/2014/chart" uri="{C3380CC4-5D6E-409C-BE32-E72D297353CC}">
              <c16:uniqueId val="{0000009D-97D4-464C-B66F-DDAD4E2A9FB7}"/>
            </c:ext>
          </c:extLst>
        </c:ser>
        <c:ser>
          <c:idx val="9"/>
          <c:order val="9"/>
          <c:tx>
            <c:strRef>
              <c:f>'Pivot Table 2'!$K$22:$K$23</c:f>
              <c:strCache>
                <c:ptCount val="1"/>
                <c:pt idx="0">
                  <c:v>Sarah</c:v>
                </c:pt>
              </c:strCache>
            </c:strRef>
          </c:tx>
          <c:spPr>
            <a:solidFill>
              <a:schemeClr val="accent4">
                <a:lumMod val="60000"/>
              </a:schemeClr>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2'!$K$24:$K$29</c:f>
              <c:numCache>
                <c:formatCode>General</c:formatCode>
                <c:ptCount val="5"/>
                <c:pt idx="3">
                  <c:v>1020</c:v>
                </c:pt>
              </c:numCache>
            </c:numRef>
          </c:val>
          <c:extLst>
            <c:ext xmlns:c16="http://schemas.microsoft.com/office/drawing/2014/chart" uri="{C3380CC4-5D6E-409C-BE32-E72D297353CC}">
              <c16:uniqueId val="{0000009E-97D4-464C-B66F-DDAD4E2A9FB7}"/>
            </c:ext>
          </c:extLst>
        </c:ser>
        <c:ser>
          <c:idx val="10"/>
          <c:order val="10"/>
          <c:tx>
            <c:strRef>
              <c:f>'Pivot Table 2'!$L$22:$L$23</c:f>
              <c:strCache>
                <c:ptCount val="1"/>
                <c:pt idx="0">
                  <c:v>Sondra</c:v>
                </c:pt>
              </c:strCache>
            </c:strRef>
          </c:tx>
          <c:spPr>
            <a:solidFill>
              <a:schemeClr val="accent5">
                <a:lumMod val="60000"/>
              </a:schemeClr>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2'!$L$24:$L$29</c:f>
              <c:numCache>
                <c:formatCode>General</c:formatCode>
                <c:ptCount val="5"/>
                <c:pt idx="4">
                  <c:v>960</c:v>
                </c:pt>
              </c:numCache>
            </c:numRef>
          </c:val>
          <c:extLst>
            <c:ext xmlns:c16="http://schemas.microsoft.com/office/drawing/2014/chart" uri="{C3380CC4-5D6E-409C-BE32-E72D297353CC}">
              <c16:uniqueId val="{0000009F-97D4-464C-B66F-DDAD4E2A9FB7}"/>
            </c:ext>
          </c:extLst>
        </c:ser>
        <c:ser>
          <c:idx val="11"/>
          <c:order val="11"/>
          <c:tx>
            <c:strRef>
              <c:f>'Pivot Table 2'!$M$22:$M$23</c:f>
              <c:strCache>
                <c:ptCount val="1"/>
                <c:pt idx="0">
                  <c:v>Stanley</c:v>
                </c:pt>
              </c:strCache>
            </c:strRef>
          </c:tx>
          <c:spPr>
            <a:solidFill>
              <a:schemeClr val="accent6">
                <a:lumMod val="60000"/>
              </a:schemeClr>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2'!$M$24:$M$29</c:f>
              <c:numCache>
                <c:formatCode>General</c:formatCode>
                <c:ptCount val="5"/>
                <c:pt idx="0">
                  <c:v>72</c:v>
                </c:pt>
                <c:pt idx="1">
                  <c:v>144</c:v>
                </c:pt>
                <c:pt idx="2">
                  <c:v>288</c:v>
                </c:pt>
                <c:pt idx="3">
                  <c:v>216</c:v>
                </c:pt>
                <c:pt idx="4">
                  <c:v>144</c:v>
                </c:pt>
              </c:numCache>
            </c:numRef>
          </c:val>
          <c:extLst>
            <c:ext xmlns:c16="http://schemas.microsoft.com/office/drawing/2014/chart" uri="{C3380CC4-5D6E-409C-BE32-E72D297353CC}">
              <c16:uniqueId val="{000000A0-97D4-464C-B66F-DDAD4E2A9FB7}"/>
            </c:ext>
          </c:extLst>
        </c:ser>
        <c:ser>
          <c:idx val="12"/>
          <c:order val="12"/>
          <c:tx>
            <c:strRef>
              <c:f>'Pivot Table 2'!$N$22:$N$23</c:f>
              <c:strCache>
                <c:ptCount val="1"/>
                <c:pt idx="0">
                  <c:v>Tom</c:v>
                </c:pt>
              </c:strCache>
            </c:strRef>
          </c:tx>
          <c:spPr>
            <a:solidFill>
              <a:schemeClr val="accent1">
                <a:lumMod val="80000"/>
                <a:lumOff val="20000"/>
              </a:schemeClr>
            </a:solidFill>
            <a:ln>
              <a:noFill/>
            </a:ln>
            <a:effectLst/>
          </c:spPr>
          <c:invertIfNegative val="0"/>
          <c:cat>
            <c:strRef>
              <c:f>'Pivot Table 2'!$A$24:$A$29</c:f>
              <c:strCache>
                <c:ptCount val="5"/>
                <c:pt idx="0">
                  <c:v>Project A</c:v>
                </c:pt>
                <c:pt idx="1">
                  <c:v>Project B</c:v>
                </c:pt>
                <c:pt idx="2">
                  <c:v>Project C</c:v>
                </c:pt>
                <c:pt idx="3">
                  <c:v>Project D</c:v>
                </c:pt>
                <c:pt idx="4">
                  <c:v>Project E</c:v>
                </c:pt>
              </c:strCache>
            </c:strRef>
          </c:cat>
          <c:val>
            <c:numRef>
              <c:f>'Pivot Table 2'!$N$24:$N$29</c:f>
              <c:numCache>
                <c:formatCode>General</c:formatCode>
                <c:ptCount val="5"/>
                <c:pt idx="0">
                  <c:v>510</c:v>
                </c:pt>
                <c:pt idx="2">
                  <c:v>480</c:v>
                </c:pt>
              </c:numCache>
            </c:numRef>
          </c:val>
          <c:extLst>
            <c:ext xmlns:c16="http://schemas.microsoft.com/office/drawing/2014/chart" uri="{C3380CC4-5D6E-409C-BE32-E72D297353CC}">
              <c16:uniqueId val="{000000A1-97D4-464C-B66F-DDAD4E2A9FB7}"/>
            </c:ext>
          </c:extLst>
        </c:ser>
        <c:dLbls>
          <c:showLegendKey val="0"/>
          <c:showVal val="0"/>
          <c:showCatName val="0"/>
          <c:showSerName val="0"/>
          <c:showPercent val="0"/>
          <c:showBubbleSize val="0"/>
        </c:dLbls>
        <c:gapWidth val="150"/>
        <c:overlap val="100"/>
        <c:axId val="630333104"/>
        <c:axId val="630337264"/>
      </c:barChart>
      <c:catAx>
        <c:axId val="630333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Project</a:t>
                </a:r>
              </a:p>
            </c:rich>
          </c:tx>
          <c:layout>
            <c:manualLayout>
              <c:xMode val="edge"/>
              <c:yMode val="edge"/>
              <c:x val="0.44363757655293096"/>
              <c:y val="0.861182560513269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337264"/>
        <c:crosses val="autoZero"/>
        <c:auto val="1"/>
        <c:lblAlgn val="ctr"/>
        <c:lblOffset val="100"/>
        <c:noMultiLvlLbl val="0"/>
      </c:catAx>
      <c:valAx>
        <c:axId val="6303372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Actual Hours </a:t>
                </a:r>
              </a:p>
            </c:rich>
          </c:tx>
          <c:layout>
            <c:manualLayout>
              <c:xMode val="edge"/>
              <c:yMode val="edge"/>
              <c:x val="2.2222222222222223E-2"/>
              <c:y val="0.300281787693205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33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 2!PivotTable15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Budgeted Hours Vs Actual Hours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c:f>
              <c:strCache>
                <c:ptCount val="1"/>
                <c:pt idx="0">
                  <c:v>Sum of Budgeted Hours</c:v>
                </c:pt>
              </c:strCache>
            </c:strRef>
          </c:tx>
          <c:spPr>
            <a:solidFill>
              <a:schemeClr val="accent1"/>
            </a:solidFill>
            <a:ln>
              <a:noFill/>
            </a:ln>
            <a:effectLst/>
          </c:spPr>
          <c:invertIfNegative val="0"/>
          <c:cat>
            <c:strRef>
              <c:f>'Pivot Table 2'!$A$4:$A$9</c:f>
              <c:strCache>
                <c:ptCount val="5"/>
                <c:pt idx="0">
                  <c:v>Project A</c:v>
                </c:pt>
                <c:pt idx="1">
                  <c:v>Project B</c:v>
                </c:pt>
                <c:pt idx="2">
                  <c:v>Project C</c:v>
                </c:pt>
                <c:pt idx="3">
                  <c:v>Project D</c:v>
                </c:pt>
                <c:pt idx="4">
                  <c:v>Project E</c:v>
                </c:pt>
              </c:strCache>
            </c:strRef>
          </c:cat>
          <c:val>
            <c:numRef>
              <c:f>'Pivot Table 2'!$B$4:$B$9</c:f>
              <c:numCache>
                <c:formatCode>General</c:formatCode>
                <c:ptCount val="5"/>
                <c:pt idx="0">
                  <c:v>2160</c:v>
                </c:pt>
                <c:pt idx="1">
                  <c:v>1350</c:v>
                </c:pt>
                <c:pt idx="2">
                  <c:v>2760</c:v>
                </c:pt>
                <c:pt idx="3">
                  <c:v>3300</c:v>
                </c:pt>
                <c:pt idx="4">
                  <c:v>2580</c:v>
                </c:pt>
              </c:numCache>
            </c:numRef>
          </c:val>
          <c:extLst>
            <c:ext xmlns:c16="http://schemas.microsoft.com/office/drawing/2014/chart" uri="{C3380CC4-5D6E-409C-BE32-E72D297353CC}">
              <c16:uniqueId val="{00000000-1B8C-4549-8575-F28F1830AFBA}"/>
            </c:ext>
          </c:extLst>
        </c:ser>
        <c:ser>
          <c:idx val="1"/>
          <c:order val="1"/>
          <c:tx>
            <c:strRef>
              <c:f>'Pivot Table 2'!$C$3</c:f>
              <c:strCache>
                <c:ptCount val="1"/>
                <c:pt idx="0">
                  <c:v>Sum ofActual Hours</c:v>
                </c:pt>
              </c:strCache>
            </c:strRef>
          </c:tx>
          <c:spPr>
            <a:solidFill>
              <a:schemeClr val="accent2"/>
            </a:solidFill>
            <a:ln>
              <a:noFill/>
            </a:ln>
            <a:effectLst/>
          </c:spPr>
          <c:invertIfNegative val="0"/>
          <c:cat>
            <c:strRef>
              <c:f>'Pivot Table 2'!$A$4:$A$9</c:f>
              <c:strCache>
                <c:ptCount val="5"/>
                <c:pt idx="0">
                  <c:v>Project A</c:v>
                </c:pt>
                <c:pt idx="1">
                  <c:v>Project B</c:v>
                </c:pt>
                <c:pt idx="2">
                  <c:v>Project C</c:v>
                </c:pt>
                <c:pt idx="3">
                  <c:v>Project D</c:v>
                </c:pt>
                <c:pt idx="4">
                  <c:v>Project E</c:v>
                </c:pt>
              </c:strCache>
            </c:strRef>
          </c:cat>
          <c:val>
            <c:numRef>
              <c:f>'Pivot Table 2'!$C$4:$C$9</c:f>
              <c:numCache>
                <c:formatCode>General</c:formatCode>
                <c:ptCount val="5"/>
                <c:pt idx="0">
                  <c:v>2364</c:v>
                </c:pt>
                <c:pt idx="1">
                  <c:v>1458</c:v>
                </c:pt>
                <c:pt idx="2">
                  <c:v>3078</c:v>
                </c:pt>
                <c:pt idx="3">
                  <c:v>3156</c:v>
                </c:pt>
                <c:pt idx="4">
                  <c:v>2214</c:v>
                </c:pt>
              </c:numCache>
            </c:numRef>
          </c:val>
          <c:extLst>
            <c:ext xmlns:c16="http://schemas.microsoft.com/office/drawing/2014/chart" uri="{C3380CC4-5D6E-409C-BE32-E72D297353CC}">
              <c16:uniqueId val="{00000001-1B8C-4549-8575-F28F1830AFBA}"/>
            </c:ext>
          </c:extLst>
        </c:ser>
        <c:dLbls>
          <c:showLegendKey val="0"/>
          <c:showVal val="0"/>
          <c:showCatName val="0"/>
          <c:showSerName val="0"/>
          <c:showPercent val="0"/>
          <c:showBubbleSize val="0"/>
        </c:dLbls>
        <c:gapWidth val="219"/>
        <c:overlap val="-27"/>
        <c:axId val="2078290176"/>
        <c:axId val="2078303488"/>
      </c:barChart>
      <c:catAx>
        <c:axId val="207829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303488"/>
        <c:crosses val="autoZero"/>
        <c:auto val="1"/>
        <c:lblAlgn val="ctr"/>
        <c:lblOffset val="100"/>
        <c:noMultiLvlLbl val="0"/>
      </c:catAx>
      <c:valAx>
        <c:axId val="2078303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29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 2!PivotTable17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Time Estimate Accuracy Per Project</a:t>
            </a:r>
            <a:endParaRPr lang="en-US"/>
          </a:p>
        </c:rich>
      </c:tx>
      <c:layout>
        <c:manualLayout>
          <c:xMode val="edge"/>
          <c:yMode val="edge"/>
          <c:x val="0.2090555555555555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2'!$B$38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2'!$A$39:$A$44</c:f>
              <c:strCache>
                <c:ptCount val="5"/>
                <c:pt idx="0">
                  <c:v>Project A</c:v>
                </c:pt>
                <c:pt idx="1">
                  <c:v>Project B</c:v>
                </c:pt>
                <c:pt idx="2">
                  <c:v>Project C</c:v>
                </c:pt>
                <c:pt idx="3">
                  <c:v>Project D</c:v>
                </c:pt>
                <c:pt idx="4">
                  <c:v>Project E</c:v>
                </c:pt>
              </c:strCache>
            </c:strRef>
          </c:cat>
          <c:val>
            <c:numRef>
              <c:f>'Pivot Table 2'!$B$39:$B$44</c:f>
              <c:numCache>
                <c:formatCode>0</c:formatCode>
                <c:ptCount val="5"/>
                <c:pt idx="0">
                  <c:v>-22.666666666666668</c:v>
                </c:pt>
                <c:pt idx="1">
                  <c:v>-12</c:v>
                </c:pt>
                <c:pt idx="2">
                  <c:v>-22.714285714285715</c:v>
                </c:pt>
                <c:pt idx="3">
                  <c:v>10.285714285714286</c:v>
                </c:pt>
                <c:pt idx="4">
                  <c:v>52.285714285714285</c:v>
                </c:pt>
              </c:numCache>
            </c:numRef>
          </c:val>
          <c:smooth val="0"/>
          <c:extLst>
            <c:ext xmlns:c16="http://schemas.microsoft.com/office/drawing/2014/chart" uri="{C3380CC4-5D6E-409C-BE32-E72D297353CC}">
              <c16:uniqueId val="{00000000-C2CC-4DF1-9C61-10402090F103}"/>
            </c:ext>
          </c:extLst>
        </c:ser>
        <c:dLbls>
          <c:dLblPos val="ctr"/>
          <c:showLegendKey val="0"/>
          <c:showVal val="1"/>
          <c:showCatName val="0"/>
          <c:showSerName val="0"/>
          <c:showPercent val="0"/>
          <c:showBubbleSize val="0"/>
        </c:dLbls>
        <c:marker val="1"/>
        <c:smooth val="0"/>
        <c:axId val="389959728"/>
        <c:axId val="483384192"/>
      </c:lineChart>
      <c:catAx>
        <c:axId val="389959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Project</a:t>
                </a:r>
              </a:p>
            </c:rich>
          </c:tx>
          <c:layout>
            <c:manualLayout>
              <c:xMode val="edge"/>
              <c:yMode val="edge"/>
              <c:x val="0.42019313210848647"/>
              <c:y val="0.84729367162438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84192"/>
        <c:crosses val="autoZero"/>
        <c:auto val="1"/>
        <c:lblAlgn val="ctr"/>
        <c:lblOffset val="100"/>
        <c:noMultiLvlLbl val="0"/>
      </c:catAx>
      <c:valAx>
        <c:axId val="4833841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Hours</a:t>
                </a:r>
                <a:r>
                  <a:rPr lang="en-GB" baseline="0"/>
                  <a:t> Variance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5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 3!PivotTable21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Budgeted Cost Per Project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3'!$B$3:$B$4</c:f>
              <c:strCache>
                <c:ptCount val="1"/>
                <c:pt idx="0">
                  <c:v>1</c:v>
                </c:pt>
              </c:strCache>
            </c:strRef>
          </c:tx>
          <c:spPr>
            <a:solidFill>
              <a:schemeClr val="accent1"/>
            </a:solidFill>
            <a:ln>
              <a:noFill/>
            </a:ln>
            <a:effectLst/>
          </c:spPr>
          <c:invertIfNegative val="0"/>
          <c:cat>
            <c:strRef>
              <c:f>'Pivot Table 3'!$A$5:$A$10</c:f>
              <c:strCache>
                <c:ptCount val="5"/>
                <c:pt idx="0">
                  <c:v>A</c:v>
                </c:pt>
                <c:pt idx="1">
                  <c:v>B</c:v>
                </c:pt>
                <c:pt idx="2">
                  <c:v>C</c:v>
                </c:pt>
                <c:pt idx="3">
                  <c:v>D</c:v>
                </c:pt>
                <c:pt idx="4">
                  <c:v>E</c:v>
                </c:pt>
              </c:strCache>
            </c:strRef>
          </c:cat>
          <c:val>
            <c:numRef>
              <c:f>'Pivot Table 3'!$B$5:$B$10</c:f>
              <c:numCache>
                <c:formatCode>General</c:formatCode>
                <c:ptCount val="5"/>
                <c:pt idx="0">
                  <c:v>25600</c:v>
                </c:pt>
                <c:pt idx="1">
                  <c:v>21850</c:v>
                </c:pt>
                <c:pt idx="2">
                  <c:v>36000</c:v>
                </c:pt>
                <c:pt idx="3">
                  <c:v>48500</c:v>
                </c:pt>
                <c:pt idx="4">
                  <c:v>29080</c:v>
                </c:pt>
              </c:numCache>
            </c:numRef>
          </c:val>
          <c:extLst>
            <c:ext xmlns:c16="http://schemas.microsoft.com/office/drawing/2014/chart" uri="{C3380CC4-5D6E-409C-BE32-E72D297353CC}">
              <c16:uniqueId val="{00000000-AA9D-4330-89FD-92E90ECFC2DF}"/>
            </c:ext>
          </c:extLst>
        </c:ser>
        <c:ser>
          <c:idx val="1"/>
          <c:order val="1"/>
          <c:tx>
            <c:strRef>
              <c:f>'Pivot Table 3'!$C$3:$C$4</c:f>
              <c:strCache>
                <c:ptCount val="1"/>
                <c:pt idx="0">
                  <c:v>2</c:v>
                </c:pt>
              </c:strCache>
            </c:strRef>
          </c:tx>
          <c:spPr>
            <a:solidFill>
              <a:schemeClr val="accent2"/>
            </a:solidFill>
            <a:ln>
              <a:noFill/>
            </a:ln>
            <a:effectLst/>
          </c:spPr>
          <c:invertIfNegative val="0"/>
          <c:cat>
            <c:strRef>
              <c:f>'Pivot Table 3'!$A$5:$A$10</c:f>
              <c:strCache>
                <c:ptCount val="5"/>
                <c:pt idx="0">
                  <c:v>A</c:v>
                </c:pt>
                <c:pt idx="1">
                  <c:v>B</c:v>
                </c:pt>
                <c:pt idx="2">
                  <c:v>C</c:v>
                </c:pt>
                <c:pt idx="3">
                  <c:v>D</c:v>
                </c:pt>
                <c:pt idx="4">
                  <c:v>E</c:v>
                </c:pt>
              </c:strCache>
            </c:strRef>
          </c:cat>
          <c:val>
            <c:numRef>
              <c:f>'Pivot Table 3'!$C$5:$C$10</c:f>
              <c:numCache>
                <c:formatCode>General</c:formatCode>
                <c:ptCount val="5"/>
                <c:pt idx="0">
                  <c:v>25600</c:v>
                </c:pt>
                <c:pt idx="1">
                  <c:v>21850</c:v>
                </c:pt>
                <c:pt idx="2">
                  <c:v>36000</c:v>
                </c:pt>
                <c:pt idx="3">
                  <c:v>48500</c:v>
                </c:pt>
                <c:pt idx="4">
                  <c:v>29080</c:v>
                </c:pt>
              </c:numCache>
            </c:numRef>
          </c:val>
          <c:extLst>
            <c:ext xmlns:c16="http://schemas.microsoft.com/office/drawing/2014/chart" uri="{C3380CC4-5D6E-409C-BE32-E72D297353CC}">
              <c16:uniqueId val="{00000025-AA9D-4330-89FD-92E90ECFC2DF}"/>
            </c:ext>
          </c:extLst>
        </c:ser>
        <c:ser>
          <c:idx val="2"/>
          <c:order val="2"/>
          <c:tx>
            <c:strRef>
              <c:f>'Pivot Table 3'!$D$3:$D$4</c:f>
              <c:strCache>
                <c:ptCount val="1"/>
                <c:pt idx="0">
                  <c:v>3</c:v>
                </c:pt>
              </c:strCache>
            </c:strRef>
          </c:tx>
          <c:spPr>
            <a:solidFill>
              <a:schemeClr val="accent3"/>
            </a:solidFill>
            <a:ln>
              <a:noFill/>
            </a:ln>
            <a:effectLst/>
          </c:spPr>
          <c:invertIfNegative val="0"/>
          <c:cat>
            <c:strRef>
              <c:f>'Pivot Table 3'!$A$5:$A$10</c:f>
              <c:strCache>
                <c:ptCount val="5"/>
                <c:pt idx="0">
                  <c:v>A</c:v>
                </c:pt>
                <c:pt idx="1">
                  <c:v>B</c:v>
                </c:pt>
                <c:pt idx="2">
                  <c:v>C</c:v>
                </c:pt>
                <c:pt idx="3">
                  <c:v>D</c:v>
                </c:pt>
                <c:pt idx="4">
                  <c:v>E</c:v>
                </c:pt>
              </c:strCache>
            </c:strRef>
          </c:cat>
          <c:val>
            <c:numRef>
              <c:f>'Pivot Table 3'!$D$5:$D$10</c:f>
              <c:numCache>
                <c:formatCode>General</c:formatCode>
                <c:ptCount val="5"/>
                <c:pt idx="0">
                  <c:v>25600</c:v>
                </c:pt>
                <c:pt idx="1">
                  <c:v>21850</c:v>
                </c:pt>
                <c:pt idx="2">
                  <c:v>36000</c:v>
                </c:pt>
                <c:pt idx="3">
                  <c:v>48500</c:v>
                </c:pt>
                <c:pt idx="4">
                  <c:v>29080</c:v>
                </c:pt>
              </c:numCache>
            </c:numRef>
          </c:val>
          <c:extLst>
            <c:ext xmlns:c16="http://schemas.microsoft.com/office/drawing/2014/chart" uri="{C3380CC4-5D6E-409C-BE32-E72D297353CC}">
              <c16:uniqueId val="{00000026-AA9D-4330-89FD-92E90ECFC2DF}"/>
            </c:ext>
          </c:extLst>
        </c:ser>
        <c:ser>
          <c:idx val="3"/>
          <c:order val="3"/>
          <c:tx>
            <c:strRef>
              <c:f>'Pivot Table 3'!$E$3:$E$4</c:f>
              <c:strCache>
                <c:ptCount val="1"/>
                <c:pt idx="0">
                  <c:v>4</c:v>
                </c:pt>
              </c:strCache>
            </c:strRef>
          </c:tx>
          <c:spPr>
            <a:solidFill>
              <a:schemeClr val="accent4"/>
            </a:solidFill>
            <a:ln>
              <a:noFill/>
            </a:ln>
            <a:effectLst/>
          </c:spPr>
          <c:invertIfNegative val="0"/>
          <c:cat>
            <c:strRef>
              <c:f>'Pivot Table 3'!$A$5:$A$10</c:f>
              <c:strCache>
                <c:ptCount val="5"/>
                <c:pt idx="0">
                  <c:v>A</c:v>
                </c:pt>
                <c:pt idx="1">
                  <c:v>B</c:v>
                </c:pt>
                <c:pt idx="2">
                  <c:v>C</c:v>
                </c:pt>
                <c:pt idx="3">
                  <c:v>D</c:v>
                </c:pt>
                <c:pt idx="4">
                  <c:v>E</c:v>
                </c:pt>
              </c:strCache>
            </c:strRef>
          </c:cat>
          <c:val>
            <c:numRef>
              <c:f>'Pivot Table 3'!$E$5:$E$10</c:f>
              <c:numCache>
                <c:formatCode>General</c:formatCode>
                <c:ptCount val="5"/>
                <c:pt idx="0">
                  <c:v>25600</c:v>
                </c:pt>
                <c:pt idx="1">
                  <c:v>21850</c:v>
                </c:pt>
                <c:pt idx="2">
                  <c:v>36000</c:v>
                </c:pt>
                <c:pt idx="3">
                  <c:v>48500</c:v>
                </c:pt>
                <c:pt idx="4">
                  <c:v>29080</c:v>
                </c:pt>
              </c:numCache>
            </c:numRef>
          </c:val>
          <c:extLst>
            <c:ext xmlns:c16="http://schemas.microsoft.com/office/drawing/2014/chart" uri="{C3380CC4-5D6E-409C-BE32-E72D297353CC}">
              <c16:uniqueId val="{00000027-AA9D-4330-89FD-92E90ECFC2DF}"/>
            </c:ext>
          </c:extLst>
        </c:ser>
        <c:ser>
          <c:idx val="4"/>
          <c:order val="4"/>
          <c:tx>
            <c:strRef>
              <c:f>'Pivot Table 3'!$F$3:$F$4</c:f>
              <c:strCache>
                <c:ptCount val="1"/>
                <c:pt idx="0">
                  <c:v>5</c:v>
                </c:pt>
              </c:strCache>
            </c:strRef>
          </c:tx>
          <c:spPr>
            <a:solidFill>
              <a:schemeClr val="accent5"/>
            </a:solidFill>
            <a:ln>
              <a:noFill/>
            </a:ln>
            <a:effectLst/>
          </c:spPr>
          <c:invertIfNegative val="0"/>
          <c:cat>
            <c:strRef>
              <c:f>'Pivot Table 3'!$A$5:$A$10</c:f>
              <c:strCache>
                <c:ptCount val="5"/>
                <c:pt idx="0">
                  <c:v>A</c:v>
                </c:pt>
                <c:pt idx="1">
                  <c:v>B</c:v>
                </c:pt>
                <c:pt idx="2">
                  <c:v>C</c:v>
                </c:pt>
                <c:pt idx="3">
                  <c:v>D</c:v>
                </c:pt>
                <c:pt idx="4">
                  <c:v>E</c:v>
                </c:pt>
              </c:strCache>
            </c:strRef>
          </c:cat>
          <c:val>
            <c:numRef>
              <c:f>'Pivot Table 3'!$F$5:$F$10</c:f>
              <c:numCache>
                <c:formatCode>General</c:formatCode>
                <c:ptCount val="5"/>
                <c:pt idx="0">
                  <c:v>25600</c:v>
                </c:pt>
                <c:pt idx="1">
                  <c:v>21850</c:v>
                </c:pt>
                <c:pt idx="2">
                  <c:v>36000</c:v>
                </c:pt>
                <c:pt idx="3">
                  <c:v>48500</c:v>
                </c:pt>
                <c:pt idx="4">
                  <c:v>29080</c:v>
                </c:pt>
              </c:numCache>
            </c:numRef>
          </c:val>
          <c:extLst>
            <c:ext xmlns:c16="http://schemas.microsoft.com/office/drawing/2014/chart" uri="{C3380CC4-5D6E-409C-BE32-E72D297353CC}">
              <c16:uniqueId val="{00000028-AA9D-4330-89FD-92E90ECFC2DF}"/>
            </c:ext>
          </c:extLst>
        </c:ser>
        <c:ser>
          <c:idx val="5"/>
          <c:order val="5"/>
          <c:tx>
            <c:strRef>
              <c:f>'Pivot Table 3'!$G$3:$G$4</c:f>
              <c:strCache>
                <c:ptCount val="1"/>
                <c:pt idx="0">
                  <c:v>6</c:v>
                </c:pt>
              </c:strCache>
            </c:strRef>
          </c:tx>
          <c:spPr>
            <a:solidFill>
              <a:schemeClr val="accent6"/>
            </a:solidFill>
            <a:ln>
              <a:noFill/>
            </a:ln>
            <a:effectLst/>
          </c:spPr>
          <c:invertIfNegative val="0"/>
          <c:cat>
            <c:strRef>
              <c:f>'Pivot Table 3'!$A$5:$A$10</c:f>
              <c:strCache>
                <c:ptCount val="5"/>
                <c:pt idx="0">
                  <c:v>A</c:v>
                </c:pt>
                <c:pt idx="1">
                  <c:v>B</c:v>
                </c:pt>
                <c:pt idx="2">
                  <c:v>C</c:v>
                </c:pt>
                <c:pt idx="3">
                  <c:v>D</c:v>
                </c:pt>
                <c:pt idx="4">
                  <c:v>E</c:v>
                </c:pt>
              </c:strCache>
            </c:strRef>
          </c:cat>
          <c:val>
            <c:numRef>
              <c:f>'Pivot Table 3'!$G$5:$G$10</c:f>
              <c:numCache>
                <c:formatCode>General</c:formatCode>
                <c:ptCount val="5"/>
                <c:pt idx="0">
                  <c:v>25600</c:v>
                </c:pt>
                <c:pt idx="1">
                  <c:v>21850</c:v>
                </c:pt>
                <c:pt idx="2">
                  <c:v>36000</c:v>
                </c:pt>
                <c:pt idx="3">
                  <c:v>48500</c:v>
                </c:pt>
                <c:pt idx="4">
                  <c:v>29080</c:v>
                </c:pt>
              </c:numCache>
            </c:numRef>
          </c:val>
          <c:extLst>
            <c:ext xmlns:c16="http://schemas.microsoft.com/office/drawing/2014/chart" uri="{C3380CC4-5D6E-409C-BE32-E72D297353CC}">
              <c16:uniqueId val="{00000029-AA9D-4330-89FD-92E90ECFC2DF}"/>
            </c:ext>
          </c:extLst>
        </c:ser>
        <c:dLbls>
          <c:showLegendKey val="0"/>
          <c:showVal val="0"/>
          <c:showCatName val="0"/>
          <c:showSerName val="0"/>
          <c:showPercent val="0"/>
          <c:showBubbleSize val="0"/>
        </c:dLbls>
        <c:gapWidth val="150"/>
        <c:overlap val="100"/>
        <c:axId val="57733360"/>
        <c:axId val="57730032"/>
      </c:barChart>
      <c:catAx>
        <c:axId val="5773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Project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30032"/>
        <c:crosses val="autoZero"/>
        <c:auto val="1"/>
        <c:lblAlgn val="ctr"/>
        <c:lblOffset val="100"/>
        <c:noMultiLvlLbl val="0"/>
      </c:catAx>
      <c:valAx>
        <c:axId val="57730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Budgeted</a:t>
                </a:r>
                <a:r>
                  <a:rPr lang="en-GB" baseline="0"/>
                  <a:t> Cost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3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 3!PivotTable22</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Cost Variance Per Project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3'!$B$54:$B$55</c:f>
              <c:strCache>
                <c:ptCount val="1"/>
                <c:pt idx="0">
                  <c:v>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3'!$A$56:$A$61</c:f>
              <c:strCache>
                <c:ptCount val="5"/>
                <c:pt idx="0">
                  <c:v>A</c:v>
                </c:pt>
                <c:pt idx="1">
                  <c:v>B</c:v>
                </c:pt>
                <c:pt idx="2">
                  <c:v>C</c:v>
                </c:pt>
                <c:pt idx="3">
                  <c:v>D</c:v>
                </c:pt>
                <c:pt idx="4">
                  <c:v>E</c:v>
                </c:pt>
              </c:strCache>
            </c:strRef>
          </c:cat>
          <c:val>
            <c:numRef>
              <c:f>'Pivot Table 3'!$B$56:$B$61</c:f>
              <c:numCache>
                <c:formatCode>General</c:formatCode>
                <c:ptCount val="5"/>
                <c:pt idx="0">
                  <c:v>-2100</c:v>
                </c:pt>
                <c:pt idx="1">
                  <c:v>-4250</c:v>
                </c:pt>
                <c:pt idx="2">
                  <c:v>-8050</c:v>
                </c:pt>
                <c:pt idx="3">
                  <c:v>3250</c:v>
                </c:pt>
                <c:pt idx="4">
                  <c:v>6040</c:v>
                </c:pt>
              </c:numCache>
            </c:numRef>
          </c:val>
          <c:smooth val="0"/>
          <c:extLst>
            <c:ext xmlns:c16="http://schemas.microsoft.com/office/drawing/2014/chart" uri="{C3380CC4-5D6E-409C-BE32-E72D297353CC}">
              <c16:uniqueId val="{00000000-D0D9-4E79-BB39-67B9FF1BBD66}"/>
            </c:ext>
          </c:extLst>
        </c:ser>
        <c:ser>
          <c:idx val="1"/>
          <c:order val="1"/>
          <c:tx>
            <c:strRef>
              <c:f>'Pivot Table 3'!$C$54:$C$55</c:f>
              <c:strCache>
                <c:ptCount val="1"/>
                <c:pt idx="0">
                  <c:v>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3'!$A$56:$A$61</c:f>
              <c:strCache>
                <c:ptCount val="5"/>
                <c:pt idx="0">
                  <c:v>A</c:v>
                </c:pt>
                <c:pt idx="1">
                  <c:v>B</c:v>
                </c:pt>
                <c:pt idx="2">
                  <c:v>C</c:v>
                </c:pt>
                <c:pt idx="3">
                  <c:v>D</c:v>
                </c:pt>
                <c:pt idx="4">
                  <c:v>E</c:v>
                </c:pt>
              </c:strCache>
            </c:strRef>
          </c:cat>
          <c:val>
            <c:numRef>
              <c:f>'Pivot Table 3'!$C$56:$C$61</c:f>
              <c:numCache>
                <c:formatCode>General</c:formatCode>
                <c:ptCount val="5"/>
                <c:pt idx="0">
                  <c:v>-2100</c:v>
                </c:pt>
                <c:pt idx="1">
                  <c:v>-4250</c:v>
                </c:pt>
                <c:pt idx="2">
                  <c:v>-8050</c:v>
                </c:pt>
                <c:pt idx="3">
                  <c:v>3250</c:v>
                </c:pt>
                <c:pt idx="4">
                  <c:v>6040</c:v>
                </c:pt>
              </c:numCache>
            </c:numRef>
          </c:val>
          <c:smooth val="0"/>
          <c:extLst>
            <c:ext xmlns:c16="http://schemas.microsoft.com/office/drawing/2014/chart" uri="{C3380CC4-5D6E-409C-BE32-E72D297353CC}">
              <c16:uniqueId val="{0000001B-D0D9-4E79-BB39-67B9FF1BBD66}"/>
            </c:ext>
          </c:extLst>
        </c:ser>
        <c:ser>
          <c:idx val="2"/>
          <c:order val="2"/>
          <c:tx>
            <c:strRef>
              <c:f>'Pivot Table 3'!$D$54:$D$55</c:f>
              <c:strCache>
                <c:ptCount val="1"/>
                <c:pt idx="0">
                  <c:v>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 3'!$A$56:$A$61</c:f>
              <c:strCache>
                <c:ptCount val="5"/>
                <c:pt idx="0">
                  <c:v>A</c:v>
                </c:pt>
                <c:pt idx="1">
                  <c:v>B</c:v>
                </c:pt>
                <c:pt idx="2">
                  <c:v>C</c:v>
                </c:pt>
                <c:pt idx="3">
                  <c:v>D</c:v>
                </c:pt>
                <c:pt idx="4">
                  <c:v>E</c:v>
                </c:pt>
              </c:strCache>
            </c:strRef>
          </c:cat>
          <c:val>
            <c:numRef>
              <c:f>'Pivot Table 3'!$D$56:$D$61</c:f>
              <c:numCache>
                <c:formatCode>General</c:formatCode>
                <c:ptCount val="5"/>
                <c:pt idx="0">
                  <c:v>-2100</c:v>
                </c:pt>
                <c:pt idx="1">
                  <c:v>-4250</c:v>
                </c:pt>
                <c:pt idx="2">
                  <c:v>-8050</c:v>
                </c:pt>
                <c:pt idx="3">
                  <c:v>3250</c:v>
                </c:pt>
                <c:pt idx="4">
                  <c:v>6040</c:v>
                </c:pt>
              </c:numCache>
            </c:numRef>
          </c:val>
          <c:smooth val="0"/>
          <c:extLst>
            <c:ext xmlns:c16="http://schemas.microsoft.com/office/drawing/2014/chart" uri="{C3380CC4-5D6E-409C-BE32-E72D297353CC}">
              <c16:uniqueId val="{0000001C-D0D9-4E79-BB39-67B9FF1BBD66}"/>
            </c:ext>
          </c:extLst>
        </c:ser>
        <c:ser>
          <c:idx val="3"/>
          <c:order val="3"/>
          <c:tx>
            <c:strRef>
              <c:f>'Pivot Table 3'!$E$54:$E$55</c:f>
              <c:strCache>
                <c:ptCount val="1"/>
                <c:pt idx="0">
                  <c:v>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 3'!$A$56:$A$61</c:f>
              <c:strCache>
                <c:ptCount val="5"/>
                <c:pt idx="0">
                  <c:v>A</c:v>
                </c:pt>
                <c:pt idx="1">
                  <c:v>B</c:v>
                </c:pt>
                <c:pt idx="2">
                  <c:v>C</c:v>
                </c:pt>
                <c:pt idx="3">
                  <c:v>D</c:v>
                </c:pt>
                <c:pt idx="4">
                  <c:v>E</c:v>
                </c:pt>
              </c:strCache>
            </c:strRef>
          </c:cat>
          <c:val>
            <c:numRef>
              <c:f>'Pivot Table 3'!$E$56:$E$61</c:f>
              <c:numCache>
                <c:formatCode>General</c:formatCode>
                <c:ptCount val="5"/>
                <c:pt idx="0">
                  <c:v>-2750</c:v>
                </c:pt>
                <c:pt idx="1">
                  <c:v>2750</c:v>
                </c:pt>
                <c:pt idx="2">
                  <c:v>-1050</c:v>
                </c:pt>
                <c:pt idx="3">
                  <c:v>3250</c:v>
                </c:pt>
                <c:pt idx="4">
                  <c:v>6040</c:v>
                </c:pt>
              </c:numCache>
            </c:numRef>
          </c:val>
          <c:smooth val="0"/>
          <c:extLst>
            <c:ext xmlns:c16="http://schemas.microsoft.com/office/drawing/2014/chart" uri="{C3380CC4-5D6E-409C-BE32-E72D297353CC}">
              <c16:uniqueId val="{0000001D-D0D9-4E79-BB39-67B9FF1BBD66}"/>
            </c:ext>
          </c:extLst>
        </c:ser>
        <c:ser>
          <c:idx val="4"/>
          <c:order val="4"/>
          <c:tx>
            <c:strRef>
              <c:f>'Pivot Table 3'!$F$54:$F$55</c:f>
              <c:strCache>
                <c:ptCount val="1"/>
                <c:pt idx="0">
                  <c:v>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 3'!$A$56:$A$61</c:f>
              <c:strCache>
                <c:ptCount val="5"/>
                <c:pt idx="0">
                  <c:v>A</c:v>
                </c:pt>
                <c:pt idx="1">
                  <c:v>B</c:v>
                </c:pt>
                <c:pt idx="2">
                  <c:v>C</c:v>
                </c:pt>
                <c:pt idx="3">
                  <c:v>D</c:v>
                </c:pt>
                <c:pt idx="4">
                  <c:v>E</c:v>
                </c:pt>
              </c:strCache>
            </c:strRef>
          </c:cat>
          <c:val>
            <c:numRef>
              <c:f>'Pivot Table 3'!$F$56:$F$61</c:f>
              <c:numCache>
                <c:formatCode>General</c:formatCode>
                <c:ptCount val="5"/>
                <c:pt idx="0">
                  <c:v>-2750</c:v>
                </c:pt>
                <c:pt idx="1">
                  <c:v>2750</c:v>
                </c:pt>
                <c:pt idx="2">
                  <c:v>-1050</c:v>
                </c:pt>
                <c:pt idx="3">
                  <c:v>3250</c:v>
                </c:pt>
                <c:pt idx="4">
                  <c:v>6040</c:v>
                </c:pt>
              </c:numCache>
            </c:numRef>
          </c:val>
          <c:smooth val="0"/>
          <c:extLst>
            <c:ext xmlns:c16="http://schemas.microsoft.com/office/drawing/2014/chart" uri="{C3380CC4-5D6E-409C-BE32-E72D297353CC}">
              <c16:uniqueId val="{0000001E-D0D9-4E79-BB39-67B9FF1BBD66}"/>
            </c:ext>
          </c:extLst>
        </c:ser>
        <c:ser>
          <c:idx val="5"/>
          <c:order val="5"/>
          <c:tx>
            <c:strRef>
              <c:f>'Pivot Table 3'!$G$54:$G$55</c:f>
              <c:strCache>
                <c:ptCount val="1"/>
                <c:pt idx="0">
                  <c:v>6</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 3'!$A$56:$A$61</c:f>
              <c:strCache>
                <c:ptCount val="5"/>
                <c:pt idx="0">
                  <c:v>A</c:v>
                </c:pt>
                <c:pt idx="1">
                  <c:v>B</c:v>
                </c:pt>
                <c:pt idx="2">
                  <c:v>C</c:v>
                </c:pt>
                <c:pt idx="3">
                  <c:v>D</c:v>
                </c:pt>
                <c:pt idx="4">
                  <c:v>E</c:v>
                </c:pt>
              </c:strCache>
            </c:strRef>
          </c:cat>
          <c:val>
            <c:numRef>
              <c:f>'Pivot Table 3'!$G$56:$G$61</c:f>
              <c:numCache>
                <c:formatCode>General</c:formatCode>
                <c:ptCount val="5"/>
                <c:pt idx="0">
                  <c:v>-2750</c:v>
                </c:pt>
                <c:pt idx="1">
                  <c:v>2750</c:v>
                </c:pt>
                <c:pt idx="2">
                  <c:v>-1050</c:v>
                </c:pt>
                <c:pt idx="3">
                  <c:v>3250</c:v>
                </c:pt>
                <c:pt idx="4">
                  <c:v>6040</c:v>
                </c:pt>
              </c:numCache>
            </c:numRef>
          </c:val>
          <c:smooth val="0"/>
          <c:extLst>
            <c:ext xmlns:c16="http://schemas.microsoft.com/office/drawing/2014/chart" uri="{C3380CC4-5D6E-409C-BE32-E72D297353CC}">
              <c16:uniqueId val="{0000001F-D0D9-4E79-BB39-67B9FF1BBD66}"/>
            </c:ext>
          </c:extLst>
        </c:ser>
        <c:dLbls>
          <c:showLegendKey val="0"/>
          <c:showVal val="0"/>
          <c:showCatName val="0"/>
          <c:showSerName val="0"/>
          <c:showPercent val="0"/>
          <c:showBubbleSize val="0"/>
        </c:dLbls>
        <c:marker val="1"/>
        <c:smooth val="0"/>
        <c:axId val="486423376"/>
        <c:axId val="486416304"/>
      </c:lineChart>
      <c:catAx>
        <c:axId val="486423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Projects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416304"/>
        <c:crosses val="autoZero"/>
        <c:auto val="1"/>
        <c:lblAlgn val="ctr"/>
        <c:lblOffset val="100"/>
        <c:noMultiLvlLbl val="0"/>
      </c:catAx>
      <c:valAx>
        <c:axId val="486416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Cost</a:t>
                </a:r>
                <a:r>
                  <a:rPr lang="en-GB" baseline="0"/>
                  <a:t> Variance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42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for Analysis.xlsx]Pivot Table 3!PivotTable24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Actual Cost Per Project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3'!$B$29:$B$30</c:f>
              <c:strCache>
                <c:ptCount val="1"/>
                <c:pt idx="0">
                  <c:v>1</c:v>
                </c:pt>
              </c:strCache>
            </c:strRef>
          </c:tx>
          <c:spPr>
            <a:solidFill>
              <a:schemeClr val="accent1"/>
            </a:solidFill>
            <a:ln>
              <a:noFill/>
            </a:ln>
            <a:effectLst/>
          </c:spPr>
          <c:invertIfNegative val="0"/>
          <c:cat>
            <c:strRef>
              <c:f>'Pivot Table 3'!$A$31:$A$36</c:f>
              <c:strCache>
                <c:ptCount val="5"/>
                <c:pt idx="0">
                  <c:v>A</c:v>
                </c:pt>
                <c:pt idx="1">
                  <c:v>B</c:v>
                </c:pt>
                <c:pt idx="2">
                  <c:v>C</c:v>
                </c:pt>
                <c:pt idx="3">
                  <c:v>D</c:v>
                </c:pt>
                <c:pt idx="4">
                  <c:v>E</c:v>
                </c:pt>
              </c:strCache>
            </c:strRef>
          </c:cat>
          <c:val>
            <c:numRef>
              <c:f>'Pivot Table 3'!$B$31:$B$36</c:f>
              <c:numCache>
                <c:formatCode>General</c:formatCode>
                <c:ptCount val="5"/>
                <c:pt idx="0">
                  <c:v>27700</c:v>
                </c:pt>
                <c:pt idx="1">
                  <c:v>26100</c:v>
                </c:pt>
                <c:pt idx="2">
                  <c:v>44050</c:v>
                </c:pt>
                <c:pt idx="3">
                  <c:v>45250</c:v>
                </c:pt>
                <c:pt idx="4">
                  <c:v>23040</c:v>
                </c:pt>
              </c:numCache>
            </c:numRef>
          </c:val>
          <c:extLst>
            <c:ext xmlns:c16="http://schemas.microsoft.com/office/drawing/2014/chart" uri="{C3380CC4-5D6E-409C-BE32-E72D297353CC}">
              <c16:uniqueId val="{00000000-BE4D-4060-919C-20BE14652288}"/>
            </c:ext>
          </c:extLst>
        </c:ser>
        <c:ser>
          <c:idx val="1"/>
          <c:order val="1"/>
          <c:tx>
            <c:strRef>
              <c:f>'Pivot Table 3'!$C$29:$C$30</c:f>
              <c:strCache>
                <c:ptCount val="1"/>
                <c:pt idx="0">
                  <c:v>2</c:v>
                </c:pt>
              </c:strCache>
            </c:strRef>
          </c:tx>
          <c:spPr>
            <a:solidFill>
              <a:schemeClr val="accent2"/>
            </a:solidFill>
            <a:ln>
              <a:noFill/>
            </a:ln>
            <a:effectLst/>
          </c:spPr>
          <c:invertIfNegative val="0"/>
          <c:cat>
            <c:strRef>
              <c:f>'Pivot Table 3'!$A$31:$A$36</c:f>
              <c:strCache>
                <c:ptCount val="5"/>
                <c:pt idx="0">
                  <c:v>A</c:v>
                </c:pt>
                <c:pt idx="1">
                  <c:v>B</c:v>
                </c:pt>
                <c:pt idx="2">
                  <c:v>C</c:v>
                </c:pt>
                <c:pt idx="3">
                  <c:v>D</c:v>
                </c:pt>
                <c:pt idx="4">
                  <c:v>E</c:v>
                </c:pt>
              </c:strCache>
            </c:strRef>
          </c:cat>
          <c:val>
            <c:numRef>
              <c:f>'Pivot Table 3'!$C$31:$C$36</c:f>
              <c:numCache>
                <c:formatCode>General</c:formatCode>
                <c:ptCount val="5"/>
                <c:pt idx="0">
                  <c:v>27700</c:v>
                </c:pt>
                <c:pt idx="1">
                  <c:v>26100</c:v>
                </c:pt>
                <c:pt idx="2">
                  <c:v>44050</c:v>
                </c:pt>
                <c:pt idx="3">
                  <c:v>45250</c:v>
                </c:pt>
                <c:pt idx="4">
                  <c:v>23040</c:v>
                </c:pt>
              </c:numCache>
            </c:numRef>
          </c:val>
          <c:extLst>
            <c:ext xmlns:c16="http://schemas.microsoft.com/office/drawing/2014/chart" uri="{C3380CC4-5D6E-409C-BE32-E72D297353CC}">
              <c16:uniqueId val="{0000001B-BE4D-4060-919C-20BE14652288}"/>
            </c:ext>
          </c:extLst>
        </c:ser>
        <c:ser>
          <c:idx val="2"/>
          <c:order val="2"/>
          <c:tx>
            <c:strRef>
              <c:f>'Pivot Table 3'!$D$29:$D$30</c:f>
              <c:strCache>
                <c:ptCount val="1"/>
                <c:pt idx="0">
                  <c:v>3</c:v>
                </c:pt>
              </c:strCache>
            </c:strRef>
          </c:tx>
          <c:spPr>
            <a:solidFill>
              <a:schemeClr val="accent3"/>
            </a:solidFill>
            <a:ln>
              <a:noFill/>
            </a:ln>
            <a:effectLst/>
          </c:spPr>
          <c:invertIfNegative val="0"/>
          <c:cat>
            <c:strRef>
              <c:f>'Pivot Table 3'!$A$31:$A$36</c:f>
              <c:strCache>
                <c:ptCount val="5"/>
                <c:pt idx="0">
                  <c:v>A</c:v>
                </c:pt>
                <c:pt idx="1">
                  <c:v>B</c:v>
                </c:pt>
                <c:pt idx="2">
                  <c:v>C</c:v>
                </c:pt>
                <c:pt idx="3">
                  <c:v>D</c:v>
                </c:pt>
                <c:pt idx="4">
                  <c:v>E</c:v>
                </c:pt>
              </c:strCache>
            </c:strRef>
          </c:cat>
          <c:val>
            <c:numRef>
              <c:f>'Pivot Table 3'!$D$31:$D$36</c:f>
              <c:numCache>
                <c:formatCode>General</c:formatCode>
                <c:ptCount val="5"/>
                <c:pt idx="0">
                  <c:v>27700</c:v>
                </c:pt>
                <c:pt idx="1">
                  <c:v>26100</c:v>
                </c:pt>
                <c:pt idx="2">
                  <c:v>44050</c:v>
                </c:pt>
                <c:pt idx="3">
                  <c:v>45250</c:v>
                </c:pt>
                <c:pt idx="4">
                  <c:v>23040</c:v>
                </c:pt>
              </c:numCache>
            </c:numRef>
          </c:val>
          <c:extLst>
            <c:ext xmlns:c16="http://schemas.microsoft.com/office/drawing/2014/chart" uri="{C3380CC4-5D6E-409C-BE32-E72D297353CC}">
              <c16:uniqueId val="{0000001C-BE4D-4060-919C-20BE14652288}"/>
            </c:ext>
          </c:extLst>
        </c:ser>
        <c:ser>
          <c:idx val="3"/>
          <c:order val="3"/>
          <c:tx>
            <c:strRef>
              <c:f>'Pivot Table 3'!$E$29:$E$30</c:f>
              <c:strCache>
                <c:ptCount val="1"/>
                <c:pt idx="0">
                  <c:v>4</c:v>
                </c:pt>
              </c:strCache>
            </c:strRef>
          </c:tx>
          <c:spPr>
            <a:solidFill>
              <a:schemeClr val="accent4"/>
            </a:solidFill>
            <a:ln>
              <a:noFill/>
            </a:ln>
            <a:effectLst/>
          </c:spPr>
          <c:invertIfNegative val="0"/>
          <c:cat>
            <c:strRef>
              <c:f>'Pivot Table 3'!$A$31:$A$36</c:f>
              <c:strCache>
                <c:ptCount val="5"/>
                <c:pt idx="0">
                  <c:v>A</c:v>
                </c:pt>
                <c:pt idx="1">
                  <c:v>B</c:v>
                </c:pt>
                <c:pt idx="2">
                  <c:v>C</c:v>
                </c:pt>
                <c:pt idx="3">
                  <c:v>D</c:v>
                </c:pt>
                <c:pt idx="4">
                  <c:v>E</c:v>
                </c:pt>
              </c:strCache>
            </c:strRef>
          </c:cat>
          <c:val>
            <c:numRef>
              <c:f>'Pivot Table 3'!$E$31:$E$36</c:f>
              <c:numCache>
                <c:formatCode>General</c:formatCode>
                <c:ptCount val="5"/>
                <c:pt idx="0">
                  <c:v>28350</c:v>
                </c:pt>
                <c:pt idx="1">
                  <c:v>19100</c:v>
                </c:pt>
                <c:pt idx="2">
                  <c:v>37050</c:v>
                </c:pt>
                <c:pt idx="3">
                  <c:v>45250</c:v>
                </c:pt>
                <c:pt idx="4">
                  <c:v>23040</c:v>
                </c:pt>
              </c:numCache>
            </c:numRef>
          </c:val>
          <c:extLst>
            <c:ext xmlns:c16="http://schemas.microsoft.com/office/drawing/2014/chart" uri="{C3380CC4-5D6E-409C-BE32-E72D297353CC}">
              <c16:uniqueId val="{0000001D-BE4D-4060-919C-20BE14652288}"/>
            </c:ext>
          </c:extLst>
        </c:ser>
        <c:ser>
          <c:idx val="4"/>
          <c:order val="4"/>
          <c:tx>
            <c:strRef>
              <c:f>'Pivot Table 3'!$F$29:$F$30</c:f>
              <c:strCache>
                <c:ptCount val="1"/>
                <c:pt idx="0">
                  <c:v>5</c:v>
                </c:pt>
              </c:strCache>
            </c:strRef>
          </c:tx>
          <c:spPr>
            <a:solidFill>
              <a:schemeClr val="accent5"/>
            </a:solidFill>
            <a:ln>
              <a:noFill/>
            </a:ln>
            <a:effectLst/>
          </c:spPr>
          <c:invertIfNegative val="0"/>
          <c:cat>
            <c:strRef>
              <c:f>'Pivot Table 3'!$A$31:$A$36</c:f>
              <c:strCache>
                <c:ptCount val="5"/>
                <c:pt idx="0">
                  <c:v>A</c:v>
                </c:pt>
                <c:pt idx="1">
                  <c:v>B</c:v>
                </c:pt>
                <c:pt idx="2">
                  <c:v>C</c:v>
                </c:pt>
                <c:pt idx="3">
                  <c:v>D</c:v>
                </c:pt>
                <c:pt idx="4">
                  <c:v>E</c:v>
                </c:pt>
              </c:strCache>
            </c:strRef>
          </c:cat>
          <c:val>
            <c:numRef>
              <c:f>'Pivot Table 3'!$F$31:$F$36</c:f>
              <c:numCache>
                <c:formatCode>General</c:formatCode>
                <c:ptCount val="5"/>
                <c:pt idx="0">
                  <c:v>28350</c:v>
                </c:pt>
                <c:pt idx="1">
                  <c:v>19100</c:v>
                </c:pt>
                <c:pt idx="2">
                  <c:v>37050</c:v>
                </c:pt>
                <c:pt idx="3">
                  <c:v>45250</c:v>
                </c:pt>
                <c:pt idx="4">
                  <c:v>23040</c:v>
                </c:pt>
              </c:numCache>
            </c:numRef>
          </c:val>
          <c:extLst>
            <c:ext xmlns:c16="http://schemas.microsoft.com/office/drawing/2014/chart" uri="{C3380CC4-5D6E-409C-BE32-E72D297353CC}">
              <c16:uniqueId val="{0000001E-BE4D-4060-919C-20BE14652288}"/>
            </c:ext>
          </c:extLst>
        </c:ser>
        <c:ser>
          <c:idx val="5"/>
          <c:order val="5"/>
          <c:tx>
            <c:strRef>
              <c:f>'Pivot Table 3'!$G$29:$G$30</c:f>
              <c:strCache>
                <c:ptCount val="1"/>
                <c:pt idx="0">
                  <c:v>6</c:v>
                </c:pt>
              </c:strCache>
            </c:strRef>
          </c:tx>
          <c:spPr>
            <a:solidFill>
              <a:schemeClr val="accent6"/>
            </a:solidFill>
            <a:ln>
              <a:noFill/>
            </a:ln>
            <a:effectLst/>
          </c:spPr>
          <c:invertIfNegative val="0"/>
          <c:cat>
            <c:strRef>
              <c:f>'Pivot Table 3'!$A$31:$A$36</c:f>
              <c:strCache>
                <c:ptCount val="5"/>
                <c:pt idx="0">
                  <c:v>A</c:v>
                </c:pt>
                <c:pt idx="1">
                  <c:v>B</c:v>
                </c:pt>
                <c:pt idx="2">
                  <c:v>C</c:v>
                </c:pt>
                <c:pt idx="3">
                  <c:v>D</c:v>
                </c:pt>
                <c:pt idx="4">
                  <c:v>E</c:v>
                </c:pt>
              </c:strCache>
            </c:strRef>
          </c:cat>
          <c:val>
            <c:numRef>
              <c:f>'Pivot Table 3'!$G$31:$G$36</c:f>
              <c:numCache>
                <c:formatCode>General</c:formatCode>
                <c:ptCount val="5"/>
                <c:pt idx="0">
                  <c:v>28350</c:v>
                </c:pt>
                <c:pt idx="1">
                  <c:v>19100</c:v>
                </c:pt>
                <c:pt idx="2">
                  <c:v>37050</c:v>
                </c:pt>
                <c:pt idx="3">
                  <c:v>45250</c:v>
                </c:pt>
                <c:pt idx="4">
                  <c:v>23040</c:v>
                </c:pt>
              </c:numCache>
            </c:numRef>
          </c:val>
          <c:extLst>
            <c:ext xmlns:c16="http://schemas.microsoft.com/office/drawing/2014/chart" uri="{C3380CC4-5D6E-409C-BE32-E72D297353CC}">
              <c16:uniqueId val="{0000001F-BE4D-4060-919C-20BE14652288}"/>
            </c:ext>
          </c:extLst>
        </c:ser>
        <c:dLbls>
          <c:showLegendKey val="0"/>
          <c:showVal val="0"/>
          <c:showCatName val="0"/>
          <c:showSerName val="0"/>
          <c:showPercent val="0"/>
          <c:showBubbleSize val="0"/>
        </c:dLbls>
        <c:gapWidth val="150"/>
        <c:overlap val="100"/>
        <c:axId val="2080163568"/>
        <c:axId val="2080143184"/>
      </c:barChart>
      <c:catAx>
        <c:axId val="2080163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Project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143184"/>
        <c:crosses val="autoZero"/>
        <c:auto val="1"/>
        <c:lblAlgn val="ctr"/>
        <c:lblOffset val="100"/>
        <c:noMultiLvlLbl val="0"/>
      </c:catAx>
      <c:valAx>
        <c:axId val="2080143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Actual</a:t>
                </a:r>
                <a:r>
                  <a:rPr lang="en-GB" baseline="0"/>
                  <a:t> Cost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16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7</xdr:col>
      <xdr:colOff>165100</xdr:colOff>
      <xdr:row>1</xdr:row>
      <xdr:rowOff>57150</xdr:rowOff>
    </xdr:from>
    <xdr:to>
      <xdr:col>18</xdr:col>
      <xdr:colOff>279400</xdr:colOff>
      <xdr:row>17</xdr:row>
      <xdr:rowOff>133350</xdr:rowOff>
    </xdr:to>
    <xdr:graphicFrame macro="">
      <xdr:nvGraphicFramePr>
        <xdr:cNvPr id="2" name="Chart 1">
          <a:extLst>
            <a:ext uri="{FF2B5EF4-FFF2-40B4-BE49-F238E27FC236}">
              <a16:creationId xmlns:a16="http://schemas.microsoft.com/office/drawing/2014/main" id="{89B49ADE-9FE4-4344-84AD-D1C8AE0B2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228600</xdr:colOff>
      <xdr:row>41</xdr:row>
      <xdr:rowOff>44450</xdr:rowOff>
    </xdr:from>
    <xdr:to>
      <xdr:col>11</xdr:col>
      <xdr:colOff>234950</xdr:colOff>
      <xdr:row>56</xdr:row>
      <xdr:rowOff>25400</xdr:rowOff>
    </xdr:to>
    <xdr:graphicFrame macro="">
      <xdr:nvGraphicFramePr>
        <xdr:cNvPr id="6" name="Chart 5">
          <a:extLst>
            <a:ext uri="{FF2B5EF4-FFF2-40B4-BE49-F238E27FC236}">
              <a16:creationId xmlns:a16="http://schemas.microsoft.com/office/drawing/2014/main" id="{4AC7FCF0-8F36-4133-ADEE-684A52AB9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7270</xdr:colOff>
      <xdr:row>19</xdr:row>
      <xdr:rowOff>58163</xdr:rowOff>
    </xdr:from>
    <xdr:to>
      <xdr:col>17</xdr:col>
      <xdr:colOff>147246</xdr:colOff>
      <xdr:row>38</xdr:row>
      <xdr:rowOff>27609</xdr:rowOff>
    </xdr:to>
    <xdr:graphicFrame macro="">
      <xdr:nvGraphicFramePr>
        <xdr:cNvPr id="7" name="Chart 6">
          <a:extLst>
            <a:ext uri="{FF2B5EF4-FFF2-40B4-BE49-F238E27FC236}">
              <a16:creationId xmlns:a16="http://schemas.microsoft.com/office/drawing/2014/main" id="{A6ED7127-1EAF-42D1-AE0F-D54A80821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171450</xdr:colOff>
      <xdr:row>2</xdr:row>
      <xdr:rowOff>177800</xdr:rowOff>
    </xdr:from>
    <xdr:to>
      <xdr:col>13</xdr:col>
      <xdr:colOff>266700</xdr:colOff>
      <xdr:row>16</xdr:row>
      <xdr:rowOff>139700</xdr:rowOff>
    </xdr:to>
    <xdr:graphicFrame macro="">
      <xdr:nvGraphicFramePr>
        <xdr:cNvPr id="2" name="Chart 1">
          <a:extLst>
            <a:ext uri="{FF2B5EF4-FFF2-40B4-BE49-F238E27FC236}">
              <a16:creationId xmlns:a16="http://schemas.microsoft.com/office/drawing/2014/main" id="{7C51712A-FD23-45DA-84F1-16D9A69F8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171450</xdr:colOff>
      <xdr:row>19</xdr:row>
      <xdr:rowOff>114300</xdr:rowOff>
    </xdr:from>
    <xdr:to>
      <xdr:col>22</xdr:col>
      <xdr:colOff>476250</xdr:colOff>
      <xdr:row>34</xdr:row>
      <xdr:rowOff>95250</xdr:rowOff>
    </xdr:to>
    <xdr:graphicFrame macro="">
      <xdr:nvGraphicFramePr>
        <xdr:cNvPr id="3" name="Chart 2">
          <a:extLst>
            <a:ext uri="{FF2B5EF4-FFF2-40B4-BE49-F238E27FC236}">
              <a16:creationId xmlns:a16="http://schemas.microsoft.com/office/drawing/2014/main" id="{824AF09C-652C-4428-A335-F5884C81D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231775</xdr:colOff>
      <xdr:row>34</xdr:row>
      <xdr:rowOff>50800</xdr:rowOff>
    </xdr:from>
    <xdr:to>
      <xdr:col>14</xdr:col>
      <xdr:colOff>279400</xdr:colOff>
      <xdr:row>49</xdr:row>
      <xdr:rowOff>171450</xdr:rowOff>
    </xdr:to>
    <xdr:graphicFrame macro="">
      <xdr:nvGraphicFramePr>
        <xdr:cNvPr id="6" name="Chart 5">
          <a:extLst>
            <a:ext uri="{FF2B5EF4-FFF2-40B4-BE49-F238E27FC236}">
              <a16:creationId xmlns:a16="http://schemas.microsoft.com/office/drawing/2014/main" id="{A67C41AB-4EF1-4B20-9FAB-EF4A4C881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165099</xdr:colOff>
      <xdr:row>0</xdr:row>
      <xdr:rowOff>115357</xdr:rowOff>
    </xdr:from>
    <xdr:to>
      <xdr:col>12</xdr:col>
      <xdr:colOff>889000</xdr:colOff>
      <xdr:row>17</xdr:row>
      <xdr:rowOff>21167</xdr:rowOff>
    </xdr:to>
    <xdr:graphicFrame macro="">
      <xdr:nvGraphicFramePr>
        <xdr:cNvPr id="2" name="Chart 1">
          <a:extLst>
            <a:ext uri="{FF2B5EF4-FFF2-40B4-BE49-F238E27FC236}">
              <a16:creationId xmlns:a16="http://schemas.microsoft.com/office/drawing/2014/main" id="{73A54931-CADB-4844-994C-C93DD6B96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169334</xdr:colOff>
      <xdr:row>47</xdr:row>
      <xdr:rowOff>157691</xdr:rowOff>
    </xdr:from>
    <xdr:to>
      <xdr:col>13</xdr:col>
      <xdr:colOff>645583</xdr:colOff>
      <xdr:row>65</xdr:row>
      <xdr:rowOff>148166</xdr:rowOff>
    </xdr:to>
    <xdr:graphicFrame macro="">
      <xdr:nvGraphicFramePr>
        <xdr:cNvPr id="7" name="Chart 6">
          <a:extLst>
            <a:ext uri="{FF2B5EF4-FFF2-40B4-BE49-F238E27FC236}">
              <a16:creationId xmlns:a16="http://schemas.microsoft.com/office/drawing/2014/main" id="{12ACE427-2E45-4657-947F-E7D0C3E5A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253999</xdr:colOff>
      <xdr:row>25</xdr:row>
      <xdr:rowOff>94191</xdr:rowOff>
    </xdr:from>
    <xdr:to>
      <xdr:col>11</xdr:col>
      <xdr:colOff>1121833</xdr:colOff>
      <xdr:row>40</xdr:row>
      <xdr:rowOff>138641</xdr:rowOff>
    </xdr:to>
    <xdr:graphicFrame macro="">
      <xdr:nvGraphicFramePr>
        <xdr:cNvPr id="8" name="Chart 7">
          <a:extLst>
            <a:ext uri="{FF2B5EF4-FFF2-40B4-BE49-F238E27FC236}">
              <a16:creationId xmlns:a16="http://schemas.microsoft.com/office/drawing/2014/main" id="{6F9DD6F2-2CA2-44A0-9C2E-835E4B0E4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0</xdr:rowOff>
    </xdr:from>
    <xdr:to>
      <xdr:col>15</xdr:col>
      <xdr:colOff>260350</xdr:colOff>
      <xdr:row>18</xdr:row>
      <xdr:rowOff>127000</xdr:rowOff>
    </xdr:to>
    <xdr:graphicFrame macro="">
      <xdr:nvGraphicFramePr>
        <xdr:cNvPr id="2" name="Chart 1">
          <a:extLst>
            <a:ext uri="{FF2B5EF4-FFF2-40B4-BE49-F238E27FC236}">
              <a16:creationId xmlns:a16="http://schemas.microsoft.com/office/drawing/2014/main" id="{AD293082-F79B-4872-BC1C-FB2DAE28D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0</xdr:rowOff>
    </xdr:from>
    <xdr:to>
      <xdr:col>15</xdr:col>
      <xdr:colOff>279400</xdr:colOff>
      <xdr:row>37</xdr:row>
      <xdr:rowOff>12700</xdr:rowOff>
    </xdr:to>
    <xdr:graphicFrame macro="">
      <xdr:nvGraphicFramePr>
        <xdr:cNvPr id="3" name="Chart 2">
          <a:extLst>
            <a:ext uri="{FF2B5EF4-FFF2-40B4-BE49-F238E27FC236}">
              <a16:creationId xmlns:a16="http://schemas.microsoft.com/office/drawing/2014/main" id="{53769270-2896-43D4-816A-76775E2EE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285750</xdr:colOff>
      <xdr:row>3</xdr:row>
      <xdr:rowOff>0</xdr:rowOff>
    </xdr:from>
    <xdr:to>
      <xdr:col>22</xdr:col>
      <xdr:colOff>12700</xdr:colOff>
      <xdr:row>18</xdr:row>
      <xdr:rowOff>120650</xdr:rowOff>
    </xdr:to>
    <xdr:graphicFrame macro="">
      <xdr:nvGraphicFramePr>
        <xdr:cNvPr id="4" name="Chart 3">
          <a:extLst>
            <a:ext uri="{FF2B5EF4-FFF2-40B4-BE49-F238E27FC236}">
              <a16:creationId xmlns:a16="http://schemas.microsoft.com/office/drawing/2014/main" id="{209B4B94-3D6F-46A2-90B2-1B133AEEE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317499</xdr:colOff>
      <xdr:row>19</xdr:row>
      <xdr:rowOff>6350</xdr:rowOff>
    </xdr:from>
    <xdr:to>
      <xdr:col>21</xdr:col>
      <xdr:colOff>780142</xdr:colOff>
      <xdr:row>37</xdr:row>
      <xdr:rowOff>19050</xdr:rowOff>
    </xdr:to>
    <xdr:graphicFrame macro="">
      <xdr:nvGraphicFramePr>
        <xdr:cNvPr id="5" name="Chart 4">
          <a:extLst>
            <a:ext uri="{FF2B5EF4-FFF2-40B4-BE49-F238E27FC236}">
              <a16:creationId xmlns:a16="http://schemas.microsoft.com/office/drawing/2014/main" id="{E81897B1-298C-48D6-8E25-CA303455B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37</xdr:row>
      <xdr:rowOff>88900</xdr:rowOff>
    </xdr:from>
    <xdr:to>
      <xdr:col>12</xdr:col>
      <xdr:colOff>571500</xdr:colOff>
      <xdr:row>55</xdr:row>
      <xdr:rowOff>0</xdr:rowOff>
    </xdr:to>
    <xdr:graphicFrame macro="">
      <xdr:nvGraphicFramePr>
        <xdr:cNvPr id="6" name="Chart 5">
          <a:extLst>
            <a:ext uri="{FF2B5EF4-FFF2-40B4-BE49-F238E27FC236}">
              <a16:creationId xmlns:a16="http://schemas.microsoft.com/office/drawing/2014/main" id="{EB466D72-57CF-4AD7-A023-AA9DFF7F1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37</xdr:row>
      <xdr:rowOff>92766</xdr:rowOff>
    </xdr:from>
    <xdr:to>
      <xdr:col>21</xdr:col>
      <xdr:colOff>784288</xdr:colOff>
      <xdr:row>54</xdr:row>
      <xdr:rowOff>165099</xdr:rowOff>
    </xdr:to>
    <xdr:graphicFrame macro="">
      <xdr:nvGraphicFramePr>
        <xdr:cNvPr id="7" name="Chart 6">
          <a:extLst>
            <a:ext uri="{FF2B5EF4-FFF2-40B4-BE49-F238E27FC236}">
              <a16:creationId xmlns:a16="http://schemas.microsoft.com/office/drawing/2014/main" id="{C430892B-0CDF-4F2C-8091-0E812C18F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79375</xdr:colOff>
      <xdr:row>3</xdr:row>
      <xdr:rowOff>52917</xdr:rowOff>
    </xdr:from>
    <xdr:to>
      <xdr:col>2</xdr:col>
      <xdr:colOff>539750</xdr:colOff>
      <xdr:row>29</xdr:row>
      <xdr:rowOff>158750</xdr:rowOff>
    </xdr:to>
    <mc:AlternateContent xmlns:mc="http://schemas.openxmlformats.org/markup-compatibility/2006" xmlns:a14="http://schemas.microsoft.com/office/drawing/2010/main">
      <mc:Choice Requires="a14">
        <xdr:graphicFrame macro="">
          <xdr:nvGraphicFramePr>
            <xdr:cNvPr id="8" name="Task">
              <a:extLst>
                <a:ext uri="{FF2B5EF4-FFF2-40B4-BE49-F238E27FC236}">
                  <a16:creationId xmlns:a16="http://schemas.microsoft.com/office/drawing/2014/main" id="{C38471F1-8BB3-4D24-B0FD-E29752E711AF}"/>
                </a:ext>
              </a:extLst>
            </xdr:cNvPr>
            <xdr:cNvGraphicFramePr/>
          </xdr:nvGraphicFramePr>
          <xdr:xfrm>
            <a:off x="0" y="0"/>
            <a:ext cx="0" cy="0"/>
          </xdr:xfrm>
          <a:graphic>
            <a:graphicData uri="http://schemas.microsoft.com/office/drawing/2010/slicer">
              <sle:slicer xmlns:sle="http://schemas.microsoft.com/office/drawing/2010/slicer" name="Task"/>
            </a:graphicData>
          </a:graphic>
        </xdr:graphicFrame>
      </mc:Choice>
      <mc:Fallback xmlns="">
        <xdr:sp macro="" textlink="">
          <xdr:nvSpPr>
            <xdr:cNvPr id="0" name=""/>
            <xdr:cNvSpPr>
              <a:spLocks noTextEdit="1"/>
            </xdr:cNvSpPr>
          </xdr:nvSpPr>
          <xdr:spPr>
            <a:xfrm>
              <a:off x="79375" y="764117"/>
              <a:ext cx="1679575" cy="50588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30</xdr:row>
      <xdr:rowOff>48128</xdr:rowOff>
    </xdr:from>
    <xdr:to>
      <xdr:col>2</xdr:col>
      <xdr:colOff>526382</xdr:colOff>
      <xdr:row>51</xdr:row>
      <xdr:rowOff>15875</xdr:rowOff>
    </xdr:to>
    <mc:AlternateContent xmlns:mc="http://schemas.openxmlformats.org/markup-compatibility/2006" xmlns:a14="http://schemas.microsoft.com/office/drawing/2010/main">
      <mc:Choice Requires="a14">
        <xdr:graphicFrame macro="">
          <xdr:nvGraphicFramePr>
            <xdr:cNvPr id="9" name="Resource">
              <a:extLst>
                <a:ext uri="{FF2B5EF4-FFF2-40B4-BE49-F238E27FC236}">
                  <a16:creationId xmlns:a16="http://schemas.microsoft.com/office/drawing/2014/main" id="{73C2E8F6-9D41-42BA-9576-A8468B2B33C0}"/>
                </a:ext>
              </a:extLst>
            </xdr:cNvPr>
            <xdr:cNvGraphicFramePr/>
          </xdr:nvGraphicFramePr>
          <xdr:xfrm>
            <a:off x="0" y="0"/>
            <a:ext cx="0" cy="0"/>
          </xdr:xfrm>
          <a:graphic>
            <a:graphicData uri="http://schemas.microsoft.com/office/drawing/2010/slicer">
              <sle:slicer xmlns:sle="http://schemas.microsoft.com/office/drawing/2010/slicer" name="Resource"/>
            </a:graphicData>
          </a:graphic>
        </xdr:graphicFrame>
      </mc:Choice>
      <mc:Fallback xmlns="">
        <xdr:sp macro="" textlink="">
          <xdr:nvSpPr>
            <xdr:cNvPr id="0" name=""/>
            <xdr:cNvSpPr>
              <a:spLocks noTextEdit="1"/>
            </xdr:cNvSpPr>
          </xdr:nvSpPr>
          <xdr:spPr>
            <a:xfrm>
              <a:off x="76200" y="5902828"/>
              <a:ext cx="1669382" cy="39682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63499</xdr:colOff>
      <xdr:row>51</xdr:row>
      <xdr:rowOff>79375</xdr:rowOff>
    </xdr:from>
    <xdr:to>
      <xdr:col>2</xdr:col>
      <xdr:colOff>530392</xdr:colOff>
      <xdr:row>63</xdr:row>
      <xdr:rowOff>88900</xdr:rowOff>
    </xdr:to>
    <mc:AlternateContent xmlns:mc="http://schemas.openxmlformats.org/markup-compatibility/2006" xmlns:a14="http://schemas.microsoft.com/office/drawing/2010/main">
      <mc:Choice Requires="a14">
        <xdr:graphicFrame macro="">
          <xdr:nvGraphicFramePr>
            <xdr:cNvPr id="10" name="Cost $ / hr">
              <a:extLst>
                <a:ext uri="{FF2B5EF4-FFF2-40B4-BE49-F238E27FC236}">
                  <a16:creationId xmlns:a16="http://schemas.microsoft.com/office/drawing/2014/main" id="{A13F7E22-DE23-4672-BF07-F1C1EEA51EE0}"/>
                </a:ext>
              </a:extLst>
            </xdr:cNvPr>
            <xdr:cNvGraphicFramePr/>
          </xdr:nvGraphicFramePr>
          <xdr:xfrm>
            <a:off x="0" y="0"/>
            <a:ext cx="0" cy="0"/>
          </xdr:xfrm>
          <a:graphic>
            <a:graphicData uri="http://schemas.microsoft.com/office/drawing/2010/slicer">
              <sle:slicer xmlns:sle="http://schemas.microsoft.com/office/drawing/2010/slicer" name="Cost $ / hr"/>
            </a:graphicData>
          </a:graphic>
        </xdr:graphicFrame>
      </mc:Choice>
      <mc:Fallback xmlns="">
        <xdr:sp macro="" textlink="">
          <xdr:nvSpPr>
            <xdr:cNvPr id="0" name=""/>
            <xdr:cNvSpPr>
              <a:spLocks noTextEdit="1"/>
            </xdr:cNvSpPr>
          </xdr:nvSpPr>
          <xdr:spPr>
            <a:xfrm>
              <a:off x="63499" y="9934575"/>
              <a:ext cx="1686093" cy="22955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xdr:colOff>
      <xdr:row>55</xdr:row>
      <xdr:rowOff>40531</xdr:rowOff>
    </xdr:from>
    <xdr:to>
      <xdr:col>9</xdr:col>
      <xdr:colOff>324255</xdr:colOff>
      <xdr:row>74</xdr:row>
      <xdr:rowOff>67552</xdr:rowOff>
    </xdr:to>
    <xdr:graphicFrame macro="">
      <xdr:nvGraphicFramePr>
        <xdr:cNvPr id="11" name="Chart 10">
          <a:extLst>
            <a:ext uri="{FF2B5EF4-FFF2-40B4-BE49-F238E27FC236}">
              <a16:creationId xmlns:a16="http://schemas.microsoft.com/office/drawing/2014/main" id="{77579D81-5C8B-487A-BAE0-0654190E2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0</xdr:colOff>
      <xdr:row>55</xdr:row>
      <xdr:rowOff>63500</xdr:rowOff>
    </xdr:from>
    <xdr:to>
      <xdr:col>21</xdr:col>
      <xdr:colOff>789214</xdr:colOff>
      <xdr:row>74</xdr:row>
      <xdr:rowOff>81065</xdr:rowOff>
    </xdr:to>
    <xdr:graphicFrame macro="">
      <xdr:nvGraphicFramePr>
        <xdr:cNvPr id="12" name="Chart 11">
          <a:extLst>
            <a:ext uri="{FF2B5EF4-FFF2-40B4-BE49-F238E27FC236}">
              <a16:creationId xmlns:a16="http://schemas.microsoft.com/office/drawing/2014/main" id="{C3B7B785-C6E9-4E74-B42F-AFC6C26DE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418830</xdr:colOff>
      <xdr:row>55</xdr:row>
      <xdr:rowOff>40532</xdr:rowOff>
    </xdr:from>
    <xdr:to>
      <xdr:col>15</xdr:col>
      <xdr:colOff>580958</xdr:colOff>
      <xdr:row>74</xdr:row>
      <xdr:rowOff>67553</xdr:rowOff>
    </xdr:to>
    <xdr:graphicFrame macro="">
      <xdr:nvGraphicFramePr>
        <xdr:cNvPr id="13" name="Chart 12">
          <a:extLst>
            <a:ext uri="{FF2B5EF4-FFF2-40B4-BE49-F238E27FC236}">
              <a16:creationId xmlns:a16="http://schemas.microsoft.com/office/drawing/2014/main" id="{04E594EF-92A6-4295-8852-02E6DFF9A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63500</xdr:colOff>
      <xdr:row>64</xdr:row>
      <xdr:rowOff>1</xdr:rowOff>
    </xdr:from>
    <xdr:to>
      <xdr:col>2</xdr:col>
      <xdr:colOff>558800</xdr:colOff>
      <xdr:row>74</xdr:row>
      <xdr:rowOff>76200</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31254ADF-CE0D-4BA6-8A95-FFD93143365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3500" y="12331701"/>
              <a:ext cx="1714500" cy="1981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020.094073611108" createdVersion="7" refreshedVersion="7" minRefreshableVersion="3" recordCount="53" xr:uid="{45B4B693-574E-4CC3-883D-E0196AF46639}">
  <cacheSource type="worksheet">
    <worksheetSource ref="A2:AG55" sheet="Worksheet"/>
  </cacheSource>
  <cacheFields count="36">
    <cacheField name="Project" numFmtId="0">
      <sharedItems count="5">
        <s v="Project A"/>
        <s v="Project B"/>
        <s v="Project C"/>
        <s v="Project D"/>
        <s v="Project E"/>
      </sharedItems>
    </cacheField>
    <cacheField name="Task" numFmtId="0">
      <sharedItems count="17">
        <s v="AT1"/>
        <s v="AT2"/>
        <s v="AT3"/>
        <s v="BT1"/>
        <s v="BT2"/>
        <s v="BT3"/>
        <s v="CT1"/>
        <s v="CT2"/>
        <s v="CT3"/>
        <s v="CT4"/>
        <s v="CT5"/>
        <s v="DT1"/>
        <s v="DT2"/>
        <s v="DT3"/>
        <s v="DT4"/>
        <s v="ET1"/>
        <s v="ET2"/>
      </sharedItems>
    </cacheField>
    <cacheField name="Resource" numFmtId="0">
      <sharedItems count="13">
        <s v="Gail"/>
        <s v="Tom"/>
        <s v="Jenny"/>
        <s v="Monique"/>
        <s v="Jim"/>
        <s v="Stanley"/>
        <s v="Erica"/>
        <s v="George"/>
        <s v="Inigo"/>
        <s v="Crystal"/>
        <s v="Sarah"/>
        <s v="Sondra"/>
        <s v="Larry"/>
      </sharedItems>
    </cacheField>
    <cacheField name="Cost $ / hr" numFmtId="164">
      <sharedItems containsSemiMixedTypes="0" containsString="0" containsNumber="1" containsInteger="1" minValue="35" maxValue="140" count="11">
        <n v="50"/>
        <n v="35"/>
        <n v="75"/>
        <n v="105"/>
        <n v="90"/>
        <n v="140"/>
        <n v="60"/>
        <n v="95"/>
        <n v="120"/>
        <n v="45"/>
        <n v="88"/>
      </sharedItems>
    </cacheField>
    <cacheField name="Month 1" numFmtId="0">
      <sharedItems containsSemiMixedTypes="0" containsString="0" containsNumber="1" containsInteger="1" minValue="5" maxValue="160"/>
    </cacheField>
    <cacheField name="Month 2" numFmtId="0">
      <sharedItems containsSemiMixedTypes="0" containsString="0" containsNumber="1" containsInteger="1" minValue="5" maxValue="160" count="8">
        <n v="20"/>
        <n v="80"/>
        <n v="40"/>
        <n v="140"/>
        <n v="10"/>
        <n v="5"/>
        <n v="30"/>
        <n v="160"/>
      </sharedItems>
    </cacheField>
    <cacheField name="Month 3" numFmtId="0">
      <sharedItems containsSemiMixedTypes="0" containsString="0" containsNumber="1" containsInteger="1" minValue="5" maxValue="160"/>
    </cacheField>
    <cacheField name="Month 4" numFmtId="0">
      <sharedItems containsSemiMixedTypes="0" containsString="0" containsNumber="1" containsInteger="1" minValue="5" maxValue="160"/>
    </cacheField>
    <cacheField name="Month 5" numFmtId="0">
      <sharedItems containsSemiMixedTypes="0" containsString="0" containsNumber="1" containsInteger="1" minValue="5" maxValue="160"/>
    </cacheField>
    <cacheField name="Month 6" numFmtId="0">
      <sharedItems containsSemiMixedTypes="0" containsString="0" containsNumber="1" containsInteger="1" minValue="5" maxValue="160"/>
    </cacheField>
    <cacheField name="Month 12" numFmtId="0">
      <sharedItems containsSemiMixedTypes="0" containsString="0" containsNumber="1" containsInteger="1" minValue="5" maxValue="160"/>
    </cacheField>
    <cacheField name="Month 22" numFmtId="0">
      <sharedItems containsSemiMixedTypes="0" containsString="0" containsNumber="1" containsInteger="1" minValue="5" maxValue="160"/>
    </cacheField>
    <cacheField name="Month 32" numFmtId="0">
      <sharedItems containsSemiMixedTypes="0" containsString="0" containsNumber="1" containsInteger="1" minValue="5" maxValue="160"/>
    </cacheField>
    <cacheField name="Month 42" numFmtId="0">
      <sharedItems containsSemiMixedTypes="0" containsString="0" containsNumber="1" containsInteger="1" minValue="5" maxValue="160"/>
    </cacheField>
    <cacheField name="Month 52" numFmtId="0">
      <sharedItems containsSemiMixedTypes="0" containsString="0" containsNumber="1" containsInteger="1" minValue="5" maxValue="160"/>
    </cacheField>
    <cacheField name="Month 62" numFmtId="0">
      <sharedItems containsSemiMixedTypes="0" containsString="0" containsNumber="1" containsInteger="1" minValue="5" maxValue="160"/>
    </cacheField>
    <cacheField name="Month 13" numFmtId="164">
      <sharedItems containsSemiMixedTypes="0" containsString="0" containsNumber="1" containsInteger="1" minValue="250" maxValue="15200"/>
    </cacheField>
    <cacheField name="Month 23" numFmtId="164">
      <sharedItems containsSemiMixedTypes="0" containsString="0" containsNumber="1" containsInteger="1" minValue="250" maxValue="15200"/>
    </cacheField>
    <cacheField name="Month 33" numFmtId="164">
      <sharedItems containsSemiMixedTypes="0" containsString="0" containsNumber="1" containsInteger="1" minValue="250" maxValue="15200"/>
    </cacheField>
    <cacheField name="Month 43" numFmtId="164">
      <sharedItems containsSemiMixedTypes="0" containsString="0" containsNumber="1" containsInteger="1" minValue="250" maxValue="15200"/>
    </cacheField>
    <cacheField name="Month 53" numFmtId="164">
      <sharedItems containsSemiMixedTypes="0" containsString="0" containsNumber="1" containsInteger="1" minValue="250" maxValue="15200"/>
    </cacheField>
    <cacheField name="Month 63" numFmtId="164">
      <sharedItems containsSemiMixedTypes="0" containsString="0" containsNumber="1" containsInteger="1" minValue="250" maxValue="15200"/>
    </cacheField>
    <cacheField name="Month 14" numFmtId="164">
      <sharedItems containsSemiMixedTypes="0" containsString="0" containsNumber="1" containsInteger="1" minValue="250" maxValue="14400"/>
    </cacheField>
    <cacheField name="Month 24" numFmtId="164">
      <sharedItems containsSemiMixedTypes="0" containsString="0" containsNumber="1" containsInteger="1" minValue="250" maxValue="14400"/>
    </cacheField>
    <cacheField name="Month 34" numFmtId="164">
      <sharedItems containsSemiMixedTypes="0" containsString="0" containsNumber="1" containsInteger="1" minValue="250" maxValue="14400"/>
    </cacheField>
    <cacheField name="Month 44" numFmtId="164">
      <sharedItems containsSemiMixedTypes="0" containsString="0" containsNumber="1" containsInteger="1" minValue="250" maxValue="14400"/>
    </cacheField>
    <cacheField name="Month 54" numFmtId="164">
      <sharedItems containsSemiMixedTypes="0" containsString="0" containsNumber="1" containsInteger="1" minValue="250" maxValue="14400"/>
    </cacheField>
    <cacheField name="Month 64" numFmtId="164">
      <sharedItems containsSemiMixedTypes="0" containsString="0" containsNumber="1" containsInteger="1" minValue="250" maxValue="14400"/>
    </cacheField>
    <cacheField name="Total Budgeted Hours" numFmtId="1">
      <sharedItems containsSemiMixedTypes="0" containsString="0" containsNumber="1" containsInteger="1" minValue="30" maxValue="960"/>
    </cacheField>
    <cacheField name="Total Actual Hours" numFmtId="1">
      <sharedItems containsSemiMixedTypes="0" containsString="0" containsNumber="1" containsInteger="1" minValue="30" maxValue="960" count="18">
        <n v="162"/>
        <n v="510"/>
        <n v="240"/>
        <n v="120"/>
        <n v="960"/>
        <n v="60"/>
        <n v="72"/>
        <n v="144"/>
        <n v="300"/>
        <n v="30"/>
        <n v="225"/>
        <n v="150"/>
        <n v="480"/>
        <n v="720"/>
        <n v="180"/>
        <n v="90"/>
        <n v="660"/>
        <n v="540"/>
      </sharedItems>
    </cacheField>
    <cacheField name="Total Budgeted Cost" numFmtId="1">
      <sharedItems containsSemiMixedTypes="0" containsString="0" containsNumber="1" containsInteger="1" minValue="1500" maxValue="91200" count="19">
        <n v="6000"/>
        <n v="16800"/>
        <n v="18000"/>
        <n v="12600"/>
        <n v="75600"/>
        <n v="3000"/>
        <n v="1500"/>
        <n v="25200"/>
        <n v="33600"/>
        <n v="7200"/>
        <n v="36000"/>
        <n v="50400"/>
        <n v="9000"/>
        <n v="10800"/>
        <n v="91200"/>
        <n v="21600"/>
        <n v="12000"/>
        <n v="43200"/>
        <n v="84480"/>
      </sharedItems>
    </cacheField>
    <cacheField name="Total Actual Cost" numFmtId="1">
      <sharedItems containsSemiMixedTypes="0" containsString="0" containsNumber="1" containsInteger="1" minValue="1500" maxValue="86400" count="23">
        <n v="8100"/>
        <n v="17850"/>
        <n v="18000"/>
        <n v="12600"/>
        <n v="86400"/>
        <n v="3000"/>
        <n v="6000"/>
        <n v="3600"/>
        <n v="7200"/>
        <n v="22500"/>
        <n v="1500"/>
        <n v="25200"/>
        <n v="31500"/>
        <n v="9000"/>
        <n v="16800"/>
        <n v="36000"/>
        <n v="75600"/>
        <n v="62700"/>
        <n v="21600"/>
        <n v="40500"/>
        <n v="15000"/>
        <n v="43200"/>
        <n v="42240"/>
      </sharedItems>
    </cacheField>
    <cacheField name="Cost Variance" numFmtId="1">
      <sharedItems containsSemiMixedTypes="0" containsString="0" containsNumber="1" containsInteger="1" minValue="-25200" maxValue="42240" count="15">
        <n v="-2100"/>
        <n v="-1050"/>
        <n v="0"/>
        <n v="-10800"/>
        <n v="-600"/>
        <n v="-1200"/>
        <n v="-4500"/>
        <n v="2100"/>
        <n v="-1800"/>
        <n v="1500"/>
        <n v="-25200"/>
        <n v="2700"/>
        <n v="28500"/>
        <n v="-3000"/>
        <n v="42240"/>
      </sharedItems>
    </cacheField>
    <cacheField name=" Variance" numFmtId="0" formula="'Total Budgeted Cost'-'Total Actual Cost'" databaseField="0"/>
    <cacheField name="Cost Performance Index" numFmtId="0" formula=" ('Total Actual Cost'/'Total Budgeted Cost') * 100" databaseField="0"/>
    <cacheField name="CPI" numFmtId="0" formula="'Total Actual Cost'/'Total Budgeted Cost'" databaseField="0"/>
  </cacheFields>
  <extLst>
    <ext xmlns:x14="http://schemas.microsoft.com/office/spreadsheetml/2009/9/main" uri="{725AE2AE-9491-48be-B2B4-4EB974FC3084}">
      <x14:pivotCacheDefinition pivotCacheId="13191453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020.166575000003" createdVersion="7" refreshedVersion="7" minRefreshableVersion="3" recordCount="53" xr:uid="{70CF57A4-F767-47D7-A750-ABA3770E8833}">
  <cacheSource type="worksheet">
    <worksheetSource ref="A2:AI55" sheet="Worksheet"/>
  </cacheSource>
  <cacheFields count="38">
    <cacheField name="Project" numFmtId="0">
      <sharedItems count="5">
        <s v="Project A"/>
        <s v="Project B"/>
        <s v="Project C"/>
        <s v="Project D"/>
        <s v="Project E"/>
      </sharedItems>
    </cacheField>
    <cacheField name="Task" numFmtId="0">
      <sharedItems count="17">
        <s v="AT1"/>
        <s v="AT2"/>
        <s v="AT3"/>
        <s v="BT1"/>
        <s v="BT2"/>
        <s v="BT3"/>
        <s v="CT1"/>
        <s v="CT2"/>
        <s v="CT3"/>
        <s v="CT4"/>
        <s v="CT5"/>
        <s v="DT1"/>
        <s v="DT2"/>
        <s v="DT3"/>
        <s v="DT4"/>
        <s v="ET1"/>
        <s v="ET2"/>
      </sharedItems>
    </cacheField>
    <cacheField name="Resource" numFmtId="0">
      <sharedItems/>
    </cacheField>
    <cacheField name="Cost $ / hr" numFmtId="164">
      <sharedItems containsSemiMixedTypes="0" containsString="0" containsNumber="1" containsInteger="1" minValue="35" maxValue="140"/>
    </cacheField>
    <cacheField name="Month 1" numFmtId="0">
      <sharedItems containsSemiMixedTypes="0" containsString="0" containsNumber="1" containsInteger="1" minValue="5" maxValue="160"/>
    </cacheField>
    <cacheField name="Month 2" numFmtId="0">
      <sharedItems containsSemiMixedTypes="0" containsString="0" containsNumber="1" containsInteger="1" minValue="5" maxValue="160"/>
    </cacheField>
    <cacheField name="Month 3" numFmtId="0">
      <sharedItems containsSemiMixedTypes="0" containsString="0" containsNumber="1" containsInteger="1" minValue="5" maxValue="160"/>
    </cacheField>
    <cacheField name="Month 4" numFmtId="0">
      <sharedItems containsSemiMixedTypes="0" containsString="0" containsNumber="1" containsInteger="1" minValue="5" maxValue="160"/>
    </cacheField>
    <cacheField name="Month 5" numFmtId="0">
      <sharedItems containsSemiMixedTypes="0" containsString="0" containsNumber="1" containsInteger="1" minValue="5" maxValue="160"/>
    </cacheField>
    <cacheField name="Month 6" numFmtId="0">
      <sharedItems containsSemiMixedTypes="0" containsString="0" containsNumber="1" containsInteger="1" minValue="5" maxValue="160"/>
    </cacheField>
    <cacheField name="Month 12" numFmtId="0">
      <sharedItems containsSemiMixedTypes="0" containsString="0" containsNumber="1" containsInteger="1" minValue="5" maxValue="160"/>
    </cacheField>
    <cacheField name="Month 22" numFmtId="0">
      <sharedItems containsSemiMixedTypes="0" containsString="0" containsNumber="1" containsInteger="1" minValue="5" maxValue="160"/>
    </cacheField>
    <cacheField name="Month 32" numFmtId="0">
      <sharedItems containsSemiMixedTypes="0" containsString="0" containsNumber="1" containsInteger="1" minValue="5" maxValue="160"/>
    </cacheField>
    <cacheField name="Month 42" numFmtId="0">
      <sharedItems containsSemiMixedTypes="0" containsString="0" containsNumber="1" containsInteger="1" minValue="5" maxValue="160"/>
    </cacheField>
    <cacheField name="Month 52" numFmtId="0">
      <sharedItems containsSemiMixedTypes="0" containsString="0" containsNumber="1" containsInteger="1" minValue="5" maxValue="160"/>
    </cacheField>
    <cacheField name="Month 62" numFmtId="0">
      <sharedItems containsSemiMixedTypes="0" containsString="0" containsNumber="1" containsInteger="1" minValue="5" maxValue="160"/>
    </cacheField>
    <cacheField name="Month 13" numFmtId="164">
      <sharedItems containsSemiMixedTypes="0" containsString="0" containsNumber="1" containsInteger="1" minValue="250" maxValue="15200"/>
    </cacheField>
    <cacheField name="Month 23" numFmtId="164">
      <sharedItems containsSemiMixedTypes="0" containsString="0" containsNumber="1" containsInteger="1" minValue="250" maxValue="15200"/>
    </cacheField>
    <cacheField name="Month 33" numFmtId="164">
      <sharedItems containsSemiMixedTypes="0" containsString="0" containsNumber="1" containsInteger="1" minValue="250" maxValue="15200"/>
    </cacheField>
    <cacheField name="Month 43" numFmtId="164">
      <sharedItems containsSemiMixedTypes="0" containsString="0" containsNumber="1" containsInteger="1" minValue="250" maxValue="15200"/>
    </cacheField>
    <cacheField name="Month 53" numFmtId="164">
      <sharedItems containsSemiMixedTypes="0" containsString="0" containsNumber="1" containsInteger="1" minValue="250" maxValue="15200"/>
    </cacheField>
    <cacheField name="Month 63" numFmtId="164">
      <sharedItems containsSemiMixedTypes="0" containsString="0" containsNumber="1" containsInteger="1" minValue="250" maxValue="15200"/>
    </cacheField>
    <cacheField name="Month 14" numFmtId="164">
      <sharedItems containsSemiMixedTypes="0" containsString="0" containsNumber="1" containsInteger="1" minValue="250" maxValue="14400"/>
    </cacheField>
    <cacheField name="Month 24" numFmtId="164">
      <sharedItems containsSemiMixedTypes="0" containsString="0" containsNumber="1" containsInteger="1" minValue="250" maxValue="14400"/>
    </cacheField>
    <cacheField name="Month 34" numFmtId="164">
      <sharedItems containsSemiMixedTypes="0" containsString="0" containsNumber="1" containsInteger="1" minValue="250" maxValue="14400"/>
    </cacheField>
    <cacheField name="Month 44" numFmtId="164">
      <sharedItems containsSemiMixedTypes="0" containsString="0" containsNumber="1" containsInteger="1" minValue="250" maxValue="14400"/>
    </cacheField>
    <cacheField name="Month 54" numFmtId="164">
      <sharedItems containsSemiMixedTypes="0" containsString="0" containsNumber="1" containsInteger="1" minValue="250" maxValue="14400"/>
    </cacheField>
    <cacheField name="Month 64" numFmtId="164">
      <sharedItems containsSemiMixedTypes="0" containsString="0" containsNumber="1" containsInteger="1" minValue="250" maxValue="14400"/>
    </cacheField>
    <cacheField name="Total Budgeted Hours" numFmtId="1">
      <sharedItems containsSemiMixedTypes="0" containsString="0" containsNumber="1" containsInteger="1" minValue="30" maxValue="960"/>
    </cacheField>
    <cacheField name="Total Actual Hours" numFmtId="1">
      <sharedItems containsSemiMixedTypes="0" containsString="0" containsNumber="1" containsInteger="1" minValue="30" maxValue="960"/>
    </cacheField>
    <cacheField name="Total Budgeted Cost" numFmtId="1">
      <sharedItems containsSemiMixedTypes="0" containsString="0" containsNumber="1" containsInteger="1" minValue="1500" maxValue="91200"/>
    </cacheField>
    <cacheField name="Total Actual Cost" numFmtId="1">
      <sharedItems containsSemiMixedTypes="0" containsString="0" containsNumber="1" containsInteger="1" minValue="1500" maxValue="86400"/>
    </cacheField>
    <cacheField name="Cost Variance" numFmtId="1">
      <sharedItems containsSemiMixedTypes="0" containsString="0" containsNumber="1" containsInteger="1" minValue="-25200" maxValue="42240"/>
    </cacheField>
    <cacheField name="CPI" numFmtId="0">
      <sharedItems containsSemiMixedTypes="0" containsString="0" containsNumber="1" minValue="0.5" maxValue="1.5"/>
    </cacheField>
    <cacheField name="Estimated time" numFmtId="1">
      <sharedItems containsSemiMixedTypes="0" containsString="0" containsNumber="1" containsInteger="1" minValue="-240" maxValue="480"/>
    </cacheField>
    <cacheField name=" Variance" numFmtId="0" formula="'Total Budgeted Cost'-'Total Actual Cost'" databaseField="0"/>
    <cacheField name="Cost Performance Index" numFmtId="0" formula=" ('Total Actual Cost'/'Total Budgeted Cost') * 100" databaseField="0"/>
    <cacheField name="CPI2" numFmtId="0" formula="'Total Actual Cost'/'Total Budgeted Cost'"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020.48885115741" createdVersion="7" refreshedVersion="7" minRefreshableVersion="3" recordCount="30" xr:uid="{D2F6E4AA-3016-4363-96AC-B962D0CA6601}">
  <cacheSource type="worksheet">
    <worksheetSource ref="A1:G31" sheet="Sheet18"/>
  </cacheSource>
  <cacheFields count="7">
    <cacheField name="Project" numFmtId="0">
      <sharedItems count="5">
        <s v="A"/>
        <s v="B"/>
        <s v="C"/>
        <s v="D"/>
        <s v="E"/>
      </sharedItems>
    </cacheField>
    <cacheField name="Month" numFmtId="0">
      <sharedItems containsSemiMixedTypes="0" containsString="0" containsNumber="1" containsInteger="1" minValue="1" maxValue="6" count="6">
        <n v="1"/>
        <n v="2"/>
        <n v="3"/>
        <n v="4"/>
        <n v="5"/>
        <n v="6"/>
      </sharedItems>
    </cacheField>
    <cacheField name="Budgeted Hours" numFmtId="0">
      <sharedItems containsSemiMixedTypes="0" containsString="0" containsNumber="1" containsInteger="1" minValue="225" maxValue="550"/>
    </cacheField>
    <cacheField name="Actual Hours" numFmtId="0">
      <sharedItems containsSemiMixedTypes="0" containsString="0" containsNumber="1" containsInteger="1" minValue="268" maxValue="538"/>
    </cacheField>
    <cacheField name="Budgeted Cost" numFmtId="0">
      <sharedItems containsSemiMixedTypes="0" containsString="0" containsNumber="1" containsInteger="1" minValue="21850" maxValue="48500"/>
    </cacheField>
    <cacheField name="Actual Cost" numFmtId="0">
      <sharedItems containsSemiMixedTypes="0" containsString="0" containsNumber="1" containsInteger="1" minValue="19100" maxValue="45250"/>
    </cacheField>
    <cacheField name="Cost Variance" numFmtId="0">
      <sharedItems containsSemiMixedTypes="0" containsString="0" containsNumber="1" containsInteger="1" minValue="-8050" maxValue="6040"/>
    </cacheField>
  </cacheFields>
  <extLst>
    <ext xmlns:x14="http://schemas.microsoft.com/office/spreadsheetml/2009/9/main" uri="{725AE2AE-9491-48be-B2B4-4EB974FC3084}">
      <x14:pivotCacheDefinition pivotCacheId="812364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x v="0"/>
    <x v="0"/>
    <x v="0"/>
    <n v="20"/>
    <x v="0"/>
    <n v="20"/>
    <n v="20"/>
    <n v="20"/>
    <n v="20"/>
    <n v="24"/>
    <n v="24"/>
    <n v="24"/>
    <n v="30"/>
    <n v="30"/>
    <n v="30"/>
    <n v="1000"/>
    <n v="1000"/>
    <n v="1000"/>
    <n v="1000"/>
    <n v="1000"/>
    <n v="1000"/>
    <n v="1200"/>
    <n v="1200"/>
    <n v="1200"/>
    <n v="1500"/>
    <n v="1500"/>
    <n v="1500"/>
    <n v="120"/>
    <x v="0"/>
    <x v="0"/>
    <x v="0"/>
    <x v="0"/>
  </r>
  <r>
    <x v="0"/>
    <x v="0"/>
    <x v="1"/>
    <x v="1"/>
    <n v="80"/>
    <x v="1"/>
    <n v="80"/>
    <n v="80"/>
    <n v="80"/>
    <n v="80"/>
    <n v="80"/>
    <n v="80"/>
    <n v="80"/>
    <n v="90"/>
    <n v="90"/>
    <n v="90"/>
    <n v="2800"/>
    <n v="2800"/>
    <n v="2800"/>
    <n v="2800"/>
    <n v="2800"/>
    <n v="2800"/>
    <n v="2800"/>
    <n v="2800"/>
    <n v="2800"/>
    <n v="3150"/>
    <n v="3150"/>
    <n v="3150"/>
    <n v="480"/>
    <x v="1"/>
    <x v="1"/>
    <x v="1"/>
    <x v="1"/>
  </r>
  <r>
    <x v="0"/>
    <x v="0"/>
    <x v="2"/>
    <x v="2"/>
    <n v="40"/>
    <x v="2"/>
    <n v="40"/>
    <n v="40"/>
    <n v="40"/>
    <n v="40"/>
    <n v="40"/>
    <n v="40"/>
    <n v="40"/>
    <n v="40"/>
    <n v="40"/>
    <n v="40"/>
    <n v="3000"/>
    <n v="3000"/>
    <n v="3000"/>
    <n v="3000"/>
    <n v="3000"/>
    <n v="3000"/>
    <n v="3000"/>
    <n v="3000"/>
    <n v="3000"/>
    <n v="3000"/>
    <n v="3000"/>
    <n v="3000"/>
    <n v="240"/>
    <x v="2"/>
    <x v="2"/>
    <x v="2"/>
    <x v="2"/>
  </r>
  <r>
    <x v="0"/>
    <x v="0"/>
    <x v="3"/>
    <x v="3"/>
    <n v="20"/>
    <x v="0"/>
    <n v="20"/>
    <n v="20"/>
    <n v="20"/>
    <n v="20"/>
    <n v="20"/>
    <n v="20"/>
    <n v="20"/>
    <n v="20"/>
    <n v="20"/>
    <n v="20"/>
    <n v="2100"/>
    <n v="2100"/>
    <n v="2100"/>
    <n v="2100"/>
    <n v="2100"/>
    <n v="2100"/>
    <n v="2100"/>
    <n v="2100"/>
    <n v="2100"/>
    <n v="2100"/>
    <n v="2100"/>
    <n v="2100"/>
    <n v="120"/>
    <x v="3"/>
    <x v="3"/>
    <x v="3"/>
    <x v="2"/>
  </r>
  <r>
    <x v="0"/>
    <x v="0"/>
    <x v="4"/>
    <x v="4"/>
    <n v="140"/>
    <x v="3"/>
    <n v="140"/>
    <n v="140"/>
    <n v="140"/>
    <n v="140"/>
    <n v="160"/>
    <n v="160"/>
    <n v="160"/>
    <n v="160"/>
    <n v="160"/>
    <n v="160"/>
    <n v="12600"/>
    <n v="12600"/>
    <n v="12600"/>
    <n v="12600"/>
    <n v="12600"/>
    <n v="12600"/>
    <n v="14400"/>
    <n v="14400"/>
    <n v="14400"/>
    <n v="14400"/>
    <n v="14400"/>
    <n v="14400"/>
    <n v="840"/>
    <x v="4"/>
    <x v="4"/>
    <x v="4"/>
    <x v="3"/>
  </r>
  <r>
    <x v="0"/>
    <x v="1"/>
    <x v="0"/>
    <x v="0"/>
    <n v="10"/>
    <x v="4"/>
    <n v="10"/>
    <n v="10"/>
    <n v="10"/>
    <n v="10"/>
    <n v="10"/>
    <n v="10"/>
    <n v="10"/>
    <n v="10"/>
    <n v="10"/>
    <n v="10"/>
    <n v="500"/>
    <n v="500"/>
    <n v="500"/>
    <n v="500"/>
    <n v="500"/>
    <n v="500"/>
    <n v="500"/>
    <n v="500"/>
    <n v="500"/>
    <n v="500"/>
    <n v="500"/>
    <n v="500"/>
    <n v="60"/>
    <x v="5"/>
    <x v="5"/>
    <x v="5"/>
    <x v="2"/>
  </r>
  <r>
    <x v="0"/>
    <x v="1"/>
    <x v="3"/>
    <x v="3"/>
    <n v="20"/>
    <x v="0"/>
    <n v="20"/>
    <n v="20"/>
    <n v="20"/>
    <n v="20"/>
    <n v="20"/>
    <n v="20"/>
    <n v="20"/>
    <n v="20"/>
    <n v="20"/>
    <n v="20"/>
    <n v="2100"/>
    <n v="2100"/>
    <n v="2100"/>
    <n v="2100"/>
    <n v="2100"/>
    <n v="2100"/>
    <n v="2100"/>
    <n v="2100"/>
    <n v="2100"/>
    <n v="2100"/>
    <n v="2100"/>
    <n v="2100"/>
    <n v="120"/>
    <x v="3"/>
    <x v="3"/>
    <x v="3"/>
    <x v="2"/>
  </r>
  <r>
    <x v="0"/>
    <x v="2"/>
    <x v="0"/>
    <x v="0"/>
    <n v="20"/>
    <x v="0"/>
    <n v="20"/>
    <n v="20"/>
    <n v="20"/>
    <n v="20"/>
    <n v="20"/>
    <n v="20"/>
    <n v="20"/>
    <n v="20"/>
    <n v="20"/>
    <n v="20"/>
    <n v="1000"/>
    <n v="1000"/>
    <n v="1000"/>
    <n v="1000"/>
    <n v="1000"/>
    <n v="1000"/>
    <n v="1000"/>
    <n v="1000"/>
    <n v="1000"/>
    <n v="1000"/>
    <n v="1000"/>
    <n v="1000"/>
    <n v="120"/>
    <x v="3"/>
    <x v="0"/>
    <x v="6"/>
    <x v="2"/>
  </r>
  <r>
    <x v="0"/>
    <x v="2"/>
    <x v="5"/>
    <x v="0"/>
    <n v="10"/>
    <x v="4"/>
    <n v="10"/>
    <n v="10"/>
    <n v="10"/>
    <n v="10"/>
    <n v="12"/>
    <n v="12"/>
    <n v="12"/>
    <n v="12"/>
    <n v="12"/>
    <n v="12"/>
    <n v="500"/>
    <n v="500"/>
    <n v="500"/>
    <n v="500"/>
    <n v="500"/>
    <n v="500"/>
    <n v="600"/>
    <n v="600"/>
    <n v="600"/>
    <n v="600"/>
    <n v="600"/>
    <n v="600"/>
    <n v="60"/>
    <x v="6"/>
    <x v="5"/>
    <x v="7"/>
    <x v="4"/>
  </r>
  <r>
    <x v="1"/>
    <x v="3"/>
    <x v="0"/>
    <x v="0"/>
    <n v="20"/>
    <x v="0"/>
    <n v="20"/>
    <n v="20"/>
    <n v="20"/>
    <n v="20"/>
    <n v="24"/>
    <n v="24"/>
    <n v="24"/>
    <n v="24"/>
    <n v="24"/>
    <n v="24"/>
    <n v="1000"/>
    <n v="1000"/>
    <n v="1000"/>
    <n v="1000"/>
    <n v="1000"/>
    <n v="1000"/>
    <n v="1200"/>
    <n v="1200"/>
    <n v="1200"/>
    <n v="1200"/>
    <n v="1200"/>
    <n v="1200"/>
    <n v="120"/>
    <x v="7"/>
    <x v="0"/>
    <x v="8"/>
    <x v="5"/>
  </r>
  <r>
    <x v="1"/>
    <x v="3"/>
    <x v="2"/>
    <x v="2"/>
    <n v="40"/>
    <x v="2"/>
    <n v="40"/>
    <n v="40"/>
    <n v="40"/>
    <n v="40"/>
    <n v="50"/>
    <n v="50"/>
    <n v="50"/>
    <n v="50"/>
    <n v="50"/>
    <n v="50"/>
    <n v="3000"/>
    <n v="3000"/>
    <n v="3000"/>
    <n v="3000"/>
    <n v="3000"/>
    <n v="3000"/>
    <n v="3750"/>
    <n v="3750"/>
    <n v="3750"/>
    <n v="3750"/>
    <n v="3750"/>
    <n v="3750"/>
    <n v="240"/>
    <x v="8"/>
    <x v="2"/>
    <x v="9"/>
    <x v="6"/>
  </r>
  <r>
    <x v="1"/>
    <x v="3"/>
    <x v="5"/>
    <x v="0"/>
    <n v="10"/>
    <x v="4"/>
    <n v="10"/>
    <n v="10"/>
    <n v="10"/>
    <n v="10"/>
    <n v="12"/>
    <n v="12"/>
    <n v="12"/>
    <n v="12"/>
    <n v="12"/>
    <n v="12"/>
    <n v="500"/>
    <n v="500"/>
    <n v="500"/>
    <n v="500"/>
    <n v="500"/>
    <n v="500"/>
    <n v="600"/>
    <n v="600"/>
    <n v="600"/>
    <n v="600"/>
    <n v="600"/>
    <n v="600"/>
    <n v="60"/>
    <x v="6"/>
    <x v="5"/>
    <x v="7"/>
    <x v="4"/>
  </r>
  <r>
    <x v="1"/>
    <x v="4"/>
    <x v="0"/>
    <x v="0"/>
    <n v="5"/>
    <x v="5"/>
    <n v="5"/>
    <n v="5"/>
    <n v="5"/>
    <n v="5"/>
    <n v="5"/>
    <n v="5"/>
    <n v="5"/>
    <n v="5"/>
    <n v="5"/>
    <n v="5"/>
    <n v="250"/>
    <n v="250"/>
    <n v="250"/>
    <n v="250"/>
    <n v="250"/>
    <n v="250"/>
    <n v="250"/>
    <n v="250"/>
    <n v="250"/>
    <n v="250"/>
    <n v="250"/>
    <n v="250"/>
    <n v="30"/>
    <x v="9"/>
    <x v="6"/>
    <x v="10"/>
    <x v="2"/>
  </r>
  <r>
    <x v="1"/>
    <x v="4"/>
    <x v="3"/>
    <x v="3"/>
    <n v="40"/>
    <x v="2"/>
    <n v="40"/>
    <n v="40"/>
    <n v="40"/>
    <n v="40"/>
    <n v="40"/>
    <n v="40"/>
    <n v="40"/>
    <n v="40"/>
    <n v="40"/>
    <n v="40"/>
    <n v="4200"/>
    <n v="4200"/>
    <n v="4200"/>
    <n v="4200"/>
    <n v="4200"/>
    <n v="4200"/>
    <n v="4200"/>
    <n v="4200"/>
    <n v="4200"/>
    <n v="4200"/>
    <n v="4200"/>
    <n v="4200"/>
    <n v="240"/>
    <x v="2"/>
    <x v="7"/>
    <x v="11"/>
    <x v="2"/>
  </r>
  <r>
    <x v="1"/>
    <x v="4"/>
    <x v="6"/>
    <x v="5"/>
    <n v="40"/>
    <x v="2"/>
    <n v="40"/>
    <n v="40"/>
    <n v="40"/>
    <n v="40"/>
    <n v="50"/>
    <n v="50"/>
    <n v="50"/>
    <n v="25"/>
    <n v="25"/>
    <n v="25"/>
    <n v="5600"/>
    <n v="5600"/>
    <n v="5600"/>
    <n v="5600"/>
    <n v="5600"/>
    <n v="5600"/>
    <n v="7000"/>
    <n v="7000"/>
    <n v="7000"/>
    <n v="3500"/>
    <n v="3500"/>
    <n v="3500"/>
    <n v="240"/>
    <x v="10"/>
    <x v="8"/>
    <x v="12"/>
    <x v="7"/>
  </r>
  <r>
    <x v="1"/>
    <x v="5"/>
    <x v="5"/>
    <x v="0"/>
    <n v="10"/>
    <x v="4"/>
    <n v="10"/>
    <n v="10"/>
    <n v="10"/>
    <n v="10"/>
    <n v="12"/>
    <n v="12"/>
    <n v="12"/>
    <n v="12"/>
    <n v="12"/>
    <n v="12"/>
    <n v="500"/>
    <n v="500"/>
    <n v="500"/>
    <n v="500"/>
    <n v="500"/>
    <n v="500"/>
    <n v="600"/>
    <n v="600"/>
    <n v="600"/>
    <n v="600"/>
    <n v="600"/>
    <n v="600"/>
    <n v="60"/>
    <x v="6"/>
    <x v="5"/>
    <x v="7"/>
    <x v="4"/>
  </r>
  <r>
    <x v="1"/>
    <x v="5"/>
    <x v="7"/>
    <x v="6"/>
    <n v="20"/>
    <x v="0"/>
    <n v="20"/>
    <n v="20"/>
    <n v="20"/>
    <n v="20"/>
    <n v="25"/>
    <n v="25"/>
    <n v="25"/>
    <n v="25"/>
    <n v="25"/>
    <n v="25"/>
    <n v="1200"/>
    <n v="1200"/>
    <n v="1200"/>
    <n v="1200"/>
    <n v="1200"/>
    <n v="1200"/>
    <n v="1500"/>
    <n v="1500"/>
    <n v="1500"/>
    <n v="1500"/>
    <n v="1500"/>
    <n v="1500"/>
    <n v="120"/>
    <x v="11"/>
    <x v="9"/>
    <x v="13"/>
    <x v="8"/>
  </r>
  <r>
    <x v="1"/>
    <x v="5"/>
    <x v="6"/>
    <x v="5"/>
    <n v="40"/>
    <x v="2"/>
    <n v="40"/>
    <n v="40"/>
    <n v="40"/>
    <n v="40"/>
    <n v="50"/>
    <n v="50"/>
    <n v="50"/>
    <n v="25"/>
    <n v="25"/>
    <n v="25"/>
    <n v="5600"/>
    <n v="5600"/>
    <n v="5600"/>
    <n v="5600"/>
    <n v="5600"/>
    <n v="5600"/>
    <n v="7000"/>
    <n v="7000"/>
    <n v="7000"/>
    <n v="3500"/>
    <n v="3500"/>
    <n v="3500"/>
    <n v="240"/>
    <x v="10"/>
    <x v="8"/>
    <x v="12"/>
    <x v="7"/>
  </r>
  <r>
    <x v="2"/>
    <x v="6"/>
    <x v="0"/>
    <x v="0"/>
    <n v="10"/>
    <x v="4"/>
    <n v="10"/>
    <n v="10"/>
    <n v="10"/>
    <n v="10"/>
    <n v="5"/>
    <n v="5"/>
    <n v="5"/>
    <n v="5"/>
    <n v="5"/>
    <n v="5"/>
    <n v="500"/>
    <n v="500"/>
    <n v="500"/>
    <n v="500"/>
    <n v="500"/>
    <n v="500"/>
    <n v="250"/>
    <n v="250"/>
    <n v="250"/>
    <n v="250"/>
    <n v="250"/>
    <n v="250"/>
    <n v="60"/>
    <x v="9"/>
    <x v="5"/>
    <x v="10"/>
    <x v="9"/>
  </r>
  <r>
    <x v="2"/>
    <x v="6"/>
    <x v="1"/>
    <x v="1"/>
    <n v="80"/>
    <x v="1"/>
    <n v="80"/>
    <n v="80"/>
    <n v="80"/>
    <n v="80"/>
    <n v="80"/>
    <n v="80"/>
    <n v="80"/>
    <n v="80"/>
    <n v="80"/>
    <n v="80"/>
    <n v="2800"/>
    <n v="2800"/>
    <n v="2800"/>
    <n v="2800"/>
    <n v="2800"/>
    <n v="2800"/>
    <n v="2800"/>
    <n v="2800"/>
    <n v="2800"/>
    <n v="2800"/>
    <n v="2800"/>
    <n v="2800"/>
    <n v="480"/>
    <x v="12"/>
    <x v="1"/>
    <x v="14"/>
    <x v="2"/>
  </r>
  <r>
    <x v="2"/>
    <x v="6"/>
    <x v="2"/>
    <x v="2"/>
    <n v="80"/>
    <x v="1"/>
    <n v="80"/>
    <n v="80"/>
    <n v="80"/>
    <n v="80"/>
    <n v="80"/>
    <n v="80"/>
    <n v="80"/>
    <n v="80"/>
    <n v="80"/>
    <n v="80"/>
    <n v="6000"/>
    <n v="6000"/>
    <n v="6000"/>
    <n v="6000"/>
    <n v="6000"/>
    <n v="6000"/>
    <n v="6000"/>
    <n v="6000"/>
    <n v="6000"/>
    <n v="6000"/>
    <n v="6000"/>
    <n v="6000"/>
    <n v="480"/>
    <x v="12"/>
    <x v="10"/>
    <x v="15"/>
    <x v="2"/>
  </r>
  <r>
    <x v="2"/>
    <x v="6"/>
    <x v="7"/>
    <x v="6"/>
    <n v="20"/>
    <x v="0"/>
    <n v="20"/>
    <n v="20"/>
    <n v="20"/>
    <n v="20"/>
    <n v="25"/>
    <n v="25"/>
    <n v="25"/>
    <n v="25"/>
    <n v="25"/>
    <n v="25"/>
    <n v="1200"/>
    <n v="1200"/>
    <n v="1200"/>
    <n v="1200"/>
    <n v="1200"/>
    <n v="1200"/>
    <n v="1500"/>
    <n v="1500"/>
    <n v="1500"/>
    <n v="1500"/>
    <n v="1500"/>
    <n v="1500"/>
    <n v="120"/>
    <x v="11"/>
    <x v="9"/>
    <x v="13"/>
    <x v="8"/>
  </r>
  <r>
    <x v="2"/>
    <x v="7"/>
    <x v="3"/>
    <x v="3"/>
    <n v="80"/>
    <x v="1"/>
    <n v="80"/>
    <n v="80"/>
    <n v="80"/>
    <n v="80"/>
    <n v="120"/>
    <n v="120"/>
    <n v="120"/>
    <n v="120"/>
    <n v="120"/>
    <n v="120"/>
    <n v="8400"/>
    <n v="8400"/>
    <n v="8400"/>
    <n v="8400"/>
    <n v="8400"/>
    <n v="8400"/>
    <n v="12600"/>
    <n v="12600"/>
    <n v="12600"/>
    <n v="12600"/>
    <n v="12600"/>
    <n v="12600"/>
    <n v="480"/>
    <x v="13"/>
    <x v="11"/>
    <x v="16"/>
    <x v="10"/>
  </r>
  <r>
    <x v="2"/>
    <x v="7"/>
    <x v="5"/>
    <x v="0"/>
    <n v="10"/>
    <x v="4"/>
    <n v="10"/>
    <n v="10"/>
    <n v="10"/>
    <n v="10"/>
    <n v="12"/>
    <n v="12"/>
    <n v="12"/>
    <n v="12"/>
    <n v="12"/>
    <n v="12"/>
    <n v="500"/>
    <n v="500"/>
    <n v="500"/>
    <n v="500"/>
    <n v="500"/>
    <n v="500"/>
    <n v="600"/>
    <n v="600"/>
    <n v="600"/>
    <n v="600"/>
    <n v="600"/>
    <n v="600"/>
    <n v="60"/>
    <x v="6"/>
    <x v="5"/>
    <x v="7"/>
    <x v="4"/>
  </r>
  <r>
    <x v="2"/>
    <x v="7"/>
    <x v="7"/>
    <x v="6"/>
    <n v="20"/>
    <x v="0"/>
    <n v="20"/>
    <n v="20"/>
    <n v="20"/>
    <n v="20"/>
    <n v="25"/>
    <n v="25"/>
    <n v="25"/>
    <n v="25"/>
    <n v="25"/>
    <n v="25"/>
    <n v="1200"/>
    <n v="1200"/>
    <n v="1200"/>
    <n v="1200"/>
    <n v="1200"/>
    <n v="1200"/>
    <n v="1500"/>
    <n v="1500"/>
    <n v="1500"/>
    <n v="1500"/>
    <n v="1500"/>
    <n v="1500"/>
    <n v="120"/>
    <x v="11"/>
    <x v="9"/>
    <x v="13"/>
    <x v="8"/>
  </r>
  <r>
    <x v="2"/>
    <x v="8"/>
    <x v="0"/>
    <x v="0"/>
    <n v="30"/>
    <x v="6"/>
    <n v="30"/>
    <n v="30"/>
    <n v="30"/>
    <n v="30"/>
    <n v="30"/>
    <n v="30"/>
    <n v="30"/>
    <n v="30"/>
    <n v="30"/>
    <n v="30"/>
    <n v="1500"/>
    <n v="1500"/>
    <n v="1500"/>
    <n v="1500"/>
    <n v="1500"/>
    <n v="1500"/>
    <n v="1500"/>
    <n v="1500"/>
    <n v="1500"/>
    <n v="1500"/>
    <n v="1500"/>
    <n v="1500"/>
    <n v="180"/>
    <x v="14"/>
    <x v="12"/>
    <x v="13"/>
    <x v="2"/>
  </r>
  <r>
    <x v="2"/>
    <x v="8"/>
    <x v="5"/>
    <x v="0"/>
    <n v="10"/>
    <x v="4"/>
    <n v="10"/>
    <n v="10"/>
    <n v="10"/>
    <n v="10"/>
    <n v="12"/>
    <n v="12"/>
    <n v="12"/>
    <n v="12"/>
    <n v="12"/>
    <n v="12"/>
    <n v="500"/>
    <n v="500"/>
    <n v="500"/>
    <n v="500"/>
    <n v="500"/>
    <n v="500"/>
    <n v="600"/>
    <n v="600"/>
    <n v="600"/>
    <n v="600"/>
    <n v="600"/>
    <n v="600"/>
    <n v="60"/>
    <x v="6"/>
    <x v="5"/>
    <x v="7"/>
    <x v="4"/>
  </r>
  <r>
    <x v="2"/>
    <x v="8"/>
    <x v="6"/>
    <x v="5"/>
    <n v="40"/>
    <x v="2"/>
    <n v="40"/>
    <n v="40"/>
    <n v="40"/>
    <n v="40"/>
    <n v="50"/>
    <n v="50"/>
    <n v="50"/>
    <n v="25"/>
    <n v="25"/>
    <n v="25"/>
    <n v="5600"/>
    <n v="5600"/>
    <n v="5600"/>
    <n v="5600"/>
    <n v="5600"/>
    <n v="5600"/>
    <n v="7000"/>
    <n v="7000"/>
    <n v="7000"/>
    <n v="3500"/>
    <n v="3500"/>
    <n v="3500"/>
    <n v="240"/>
    <x v="10"/>
    <x v="8"/>
    <x v="12"/>
    <x v="7"/>
  </r>
  <r>
    <x v="2"/>
    <x v="9"/>
    <x v="5"/>
    <x v="0"/>
    <n v="10"/>
    <x v="4"/>
    <n v="10"/>
    <n v="10"/>
    <n v="10"/>
    <n v="10"/>
    <n v="12"/>
    <n v="12"/>
    <n v="12"/>
    <n v="12"/>
    <n v="12"/>
    <n v="12"/>
    <n v="500"/>
    <n v="500"/>
    <n v="500"/>
    <n v="500"/>
    <n v="500"/>
    <n v="500"/>
    <n v="600"/>
    <n v="600"/>
    <n v="600"/>
    <n v="600"/>
    <n v="600"/>
    <n v="600"/>
    <n v="60"/>
    <x v="6"/>
    <x v="5"/>
    <x v="7"/>
    <x v="4"/>
  </r>
  <r>
    <x v="2"/>
    <x v="9"/>
    <x v="7"/>
    <x v="6"/>
    <n v="20"/>
    <x v="0"/>
    <n v="20"/>
    <n v="20"/>
    <n v="20"/>
    <n v="20"/>
    <n v="25"/>
    <n v="25"/>
    <n v="25"/>
    <n v="25"/>
    <n v="25"/>
    <n v="25"/>
    <n v="1200"/>
    <n v="1200"/>
    <n v="1200"/>
    <n v="1200"/>
    <n v="1200"/>
    <n v="1200"/>
    <n v="1500"/>
    <n v="1500"/>
    <n v="1500"/>
    <n v="1500"/>
    <n v="1500"/>
    <n v="1500"/>
    <n v="120"/>
    <x v="11"/>
    <x v="9"/>
    <x v="13"/>
    <x v="8"/>
  </r>
  <r>
    <x v="2"/>
    <x v="10"/>
    <x v="6"/>
    <x v="5"/>
    <n v="40"/>
    <x v="2"/>
    <n v="40"/>
    <n v="40"/>
    <n v="40"/>
    <n v="40"/>
    <n v="50"/>
    <n v="50"/>
    <n v="50"/>
    <n v="25"/>
    <n v="25"/>
    <n v="25"/>
    <n v="5600"/>
    <n v="5600"/>
    <n v="5600"/>
    <n v="5600"/>
    <n v="5600"/>
    <n v="5600"/>
    <n v="7000"/>
    <n v="7000"/>
    <n v="7000"/>
    <n v="3500"/>
    <n v="3500"/>
    <n v="3500"/>
    <n v="240"/>
    <x v="10"/>
    <x v="8"/>
    <x v="12"/>
    <x v="7"/>
  </r>
  <r>
    <x v="2"/>
    <x v="10"/>
    <x v="5"/>
    <x v="0"/>
    <n v="10"/>
    <x v="4"/>
    <n v="10"/>
    <n v="10"/>
    <n v="10"/>
    <n v="10"/>
    <n v="12"/>
    <n v="12"/>
    <n v="12"/>
    <n v="12"/>
    <n v="12"/>
    <n v="12"/>
    <n v="500"/>
    <n v="500"/>
    <n v="500"/>
    <n v="500"/>
    <n v="500"/>
    <n v="500"/>
    <n v="600"/>
    <n v="600"/>
    <n v="600"/>
    <n v="600"/>
    <n v="600"/>
    <n v="600"/>
    <n v="60"/>
    <x v="6"/>
    <x v="5"/>
    <x v="7"/>
    <x v="4"/>
  </r>
  <r>
    <x v="3"/>
    <x v="11"/>
    <x v="4"/>
    <x v="4"/>
    <n v="20"/>
    <x v="0"/>
    <n v="20"/>
    <n v="20"/>
    <n v="20"/>
    <n v="20"/>
    <n v="15"/>
    <n v="15"/>
    <n v="15"/>
    <n v="15"/>
    <n v="15"/>
    <n v="15"/>
    <n v="1800"/>
    <n v="1800"/>
    <n v="1800"/>
    <n v="1800"/>
    <n v="1800"/>
    <n v="1800"/>
    <n v="1350"/>
    <n v="1350"/>
    <n v="1350"/>
    <n v="1350"/>
    <n v="1350"/>
    <n v="1350"/>
    <n v="120"/>
    <x v="15"/>
    <x v="13"/>
    <x v="0"/>
    <x v="11"/>
  </r>
  <r>
    <x v="3"/>
    <x v="11"/>
    <x v="8"/>
    <x v="7"/>
    <n v="160"/>
    <x v="7"/>
    <n v="160"/>
    <n v="160"/>
    <n v="160"/>
    <n v="160"/>
    <n v="110"/>
    <n v="110"/>
    <n v="110"/>
    <n v="110"/>
    <n v="110"/>
    <n v="110"/>
    <n v="15200"/>
    <n v="15200"/>
    <n v="15200"/>
    <n v="15200"/>
    <n v="15200"/>
    <n v="15200"/>
    <n v="10450"/>
    <n v="10450"/>
    <n v="10450"/>
    <n v="10450"/>
    <n v="10450"/>
    <n v="10450"/>
    <n v="960"/>
    <x v="16"/>
    <x v="14"/>
    <x v="17"/>
    <x v="12"/>
  </r>
  <r>
    <x v="3"/>
    <x v="11"/>
    <x v="7"/>
    <x v="6"/>
    <n v="20"/>
    <x v="0"/>
    <n v="20"/>
    <n v="20"/>
    <n v="20"/>
    <n v="20"/>
    <n v="25"/>
    <n v="25"/>
    <n v="25"/>
    <n v="25"/>
    <n v="25"/>
    <n v="25"/>
    <n v="1200"/>
    <n v="1200"/>
    <n v="1200"/>
    <n v="1200"/>
    <n v="1200"/>
    <n v="1200"/>
    <n v="1500"/>
    <n v="1500"/>
    <n v="1500"/>
    <n v="1500"/>
    <n v="1500"/>
    <n v="1500"/>
    <n v="120"/>
    <x v="11"/>
    <x v="9"/>
    <x v="13"/>
    <x v="8"/>
  </r>
  <r>
    <x v="3"/>
    <x v="11"/>
    <x v="9"/>
    <x v="8"/>
    <n v="30"/>
    <x v="6"/>
    <n v="30"/>
    <n v="30"/>
    <n v="30"/>
    <n v="30"/>
    <n v="30"/>
    <n v="30"/>
    <n v="30"/>
    <n v="30"/>
    <n v="30"/>
    <n v="30"/>
    <n v="3600"/>
    <n v="3600"/>
    <n v="3600"/>
    <n v="3600"/>
    <n v="3600"/>
    <n v="3600"/>
    <n v="3600"/>
    <n v="3600"/>
    <n v="3600"/>
    <n v="3600"/>
    <n v="3600"/>
    <n v="3600"/>
    <n v="180"/>
    <x v="14"/>
    <x v="15"/>
    <x v="18"/>
    <x v="2"/>
  </r>
  <r>
    <x v="3"/>
    <x v="12"/>
    <x v="10"/>
    <x v="2"/>
    <n v="80"/>
    <x v="1"/>
    <n v="80"/>
    <n v="80"/>
    <n v="80"/>
    <n v="80"/>
    <n v="80"/>
    <n v="80"/>
    <n v="80"/>
    <n v="80"/>
    <n v="80"/>
    <n v="80"/>
    <n v="6000"/>
    <n v="6000"/>
    <n v="6000"/>
    <n v="6000"/>
    <n v="6000"/>
    <n v="6000"/>
    <n v="6000"/>
    <n v="6000"/>
    <n v="6000"/>
    <n v="6000"/>
    <n v="6000"/>
    <n v="6000"/>
    <n v="480"/>
    <x v="12"/>
    <x v="10"/>
    <x v="15"/>
    <x v="2"/>
  </r>
  <r>
    <x v="3"/>
    <x v="12"/>
    <x v="5"/>
    <x v="0"/>
    <n v="10"/>
    <x v="4"/>
    <n v="10"/>
    <n v="10"/>
    <n v="10"/>
    <n v="10"/>
    <n v="12"/>
    <n v="12"/>
    <n v="12"/>
    <n v="12"/>
    <n v="12"/>
    <n v="12"/>
    <n v="500"/>
    <n v="500"/>
    <n v="500"/>
    <n v="500"/>
    <n v="500"/>
    <n v="500"/>
    <n v="600"/>
    <n v="600"/>
    <n v="600"/>
    <n v="600"/>
    <n v="600"/>
    <n v="600"/>
    <n v="60"/>
    <x v="6"/>
    <x v="5"/>
    <x v="7"/>
    <x v="4"/>
  </r>
  <r>
    <x v="3"/>
    <x v="12"/>
    <x v="7"/>
    <x v="6"/>
    <n v="20"/>
    <x v="0"/>
    <n v="20"/>
    <n v="20"/>
    <n v="20"/>
    <n v="20"/>
    <n v="25"/>
    <n v="25"/>
    <n v="25"/>
    <n v="25"/>
    <n v="25"/>
    <n v="25"/>
    <n v="1200"/>
    <n v="1200"/>
    <n v="1200"/>
    <n v="1200"/>
    <n v="1200"/>
    <n v="1200"/>
    <n v="1500"/>
    <n v="1500"/>
    <n v="1500"/>
    <n v="1500"/>
    <n v="1500"/>
    <n v="1500"/>
    <n v="120"/>
    <x v="11"/>
    <x v="9"/>
    <x v="13"/>
    <x v="8"/>
  </r>
  <r>
    <x v="3"/>
    <x v="12"/>
    <x v="9"/>
    <x v="8"/>
    <n v="30"/>
    <x v="6"/>
    <n v="30"/>
    <n v="30"/>
    <n v="30"/>
    <n v="30"/>
    <n v="30"/>
    <n v="30"/>
    <n v="30"/>
    <n v="30"/>
    <n v="30"/>
    <n v="30"/>
    <n v="3600"/>
    <n v="3600"/>
    <n v="3600"/>
    <n v="3600"/>
    <n v="3600"/>
    <n v="3600"/>
    <n v="3600"/>
    <n v="3600"/>
    <n v="3600"/>
    <n v="3600"/>
    <n v="3600"/>
    <n v="3600"/>
    <n v="180"/>
    <x v="14"/>
    <x v="15"/>
    <x v="18"/>
    <x v="2"/>
  </r>
  <r>
    <x v="3"/>
    <x v="13"/>
    <x v="10"/>
    <x v="2"/>
    <n v="80"/>
    <x v="1"/>
    <n v="80"/>
    <n v="80"/>
    <n v="80"/>
    <n v="80"/>
    <n v="90"/>
    <n v="90"/>
    <n v="90"/>
    <n v="90"/>
    <n v="90"/>
    <n v="90"/>
    <n v="6000"/>
    <n v="6000"/>
    <n v="6000"/>
    <n v="6000"/>
    <n v="6000"/>
    <n v="6000"/>
    <n v="6750"/>
    <n v="6750"/>
    <n v="6750"/>
    <n v="6750"/>
    <n v="6750"/>
    <n v="6750"/>
    <n v="480"/>
    <x v="17"/>
    <x v="10"/>
    <x v="19"/>
    <x v="6"/>
  </r>
  <r>
    <x v="3"/>
    <x v="13"/>
    <x v="5"/>
    <x v="0"/>
    <n v="10"/>
    <x v="4"/>
    <n v="10"/>
    <n v="10"/>
    <n v="10"/>
    <n v="10"/>
    <n v="12"/>
    <n v="12"/>
    <n v="12"/>
    <n v="12"/>
    <n v="12"/>
    <n v="12"/>
    <n v="500"/>
    <n v="500"/>
    <n v="500"/>
    <n v="500"/>
    <n v="500"/>
    <n v="500"/>
    <n v="600"/>
    <n v="600"/>
    <n v="600"/>
    <n v="600"/>
    <n v="600"/>
    <n v="600"/>
    <n v="60"/>
    <x v="6"/>
    <x v="5"/>
    <x v="7"/>
    <x v="4"/>
  </r>
  <r>
    <x v="3"/>
    <x v="13"/>
    <x v="9"/>
    <x v="8"/>
    <n v="30"/>
    <x v="6"/>
    <n v="30"/>
    <n v="30"/>
    <n v="30"/>
    <n v="30"/>
    <n v="30"/>
    <n v="30"/>
    <n v="30"/>
    <n v="30"/>
    <n v="30"/>
    <n v="30"/>
    <n v="3600"/>
    <n v="3600"/>
    <n v="3600"/>
    <n v="3600"/>
    <n v="3600"/>
    <n v="3600"/>
    <n v="3600"/>
    <n v="3600"/>
    <n v="3600"/>
    <n v="3600"/>
    <n v="3600"/>
    <n v="3600"/>
    <n v="180"/>
    <x v="14"/>
    <x v="15"/>
    <x v="18"/>
    <x v="2"/>
  </r>
  <r>
    <x v="3"/>
    <x v="14"/>
    <x v="5"/>
    <x v="0"/>
    <n v="10"/>
    <x v="4"/>
    <n v="10"/>
    <n v="10"/>
    <n v="10"/>
    <n v="10"/>
    <n v="12"/>
    <n v="12"/>
    <n v="12"/>
    <n v="12"/>
    <n v="12"/>
    <n v="12"/>
    <n v="500"/>
    <n v="500"/>
    <n v="500"/>
    <n v="500"/>
    <n v="500"/>
    <n v="500"/>
    <n v="600"/>
    <n v="600"/>
    <n v="600"/>
    <n v="600"/>
    <n v="600"/>
    <n v="600"/>
    <n v="60"/>
    <x v="6"/>
    <x v="5"/>
    <x v="7"/>
    <x v="4"/>
  </r>
  <r>
    <x v="3"/>
    <x v="14"/>
    <x v="7"/>
    <x v="6"/>
    <n v="20"/>
    <x v="0"/>
    <n v="20"/>
    <n v="20"/>
    <n v="20"/>
    <n v="20"/>
    <n v="25"/>
    <n v="25"/>
    <n v="25"/>
    <n v="25"/>
    <n v="25"/>
    <n v="25"/>
    <n v="1200"/>
    <n v="1200"/>
    <n v="1200"/>
    <n v="1200"/>
    <n v="1200"/>
    <n v="1200"/>
    <n v="1500"/>
    <n v="1500"/>
    <n v="1500"/>
    <n v="1500"/>
    <n v="1500"/>
    <n v="1500"/>
    <n v="120"/>
    <x v="11"/>
    <x v="9"/>
    <x v="13"/>
    <x v="8"/>
  </r>
  <r>
    <x v="3"/>
    <x v="14"/>
    <x v="9"/>
    <x v="8"/>
    <n v="30"/>
    <x v="6"/>
    <n v="30"/>
    <n v="30"/>
    <n v="30"/>
    <n v="30"/>
    <n v="30"/>
    <n v="30"/>
    <n v="30"/>
    <n v="30"/>
    <n v="30"/>
    <n v="30"/>
    <n v="3600"/>
    <n v="3600"/>
    <n v="3600"/>
    <n v="3600"/>
    <n v="3600"/>
    <n v="3600"/>
    <n v="3600"/>
    <n v="3600"/>
    <n v="3600"/>
    <n v="3600"/>
    <n v="3600"/>
    <n v="3600"/>
    <n v="180"/>
    <x v="14"/>
    <x v="15"/>
    <x v="18"/>
    <x v="2"/>
  </r>
  <r>
    <x v="4"/>
    <x v="15"/>
    <x v="0"/>
    <x v="0"/>
    <n v="40"/>
    <x v="2"/>
    <n v="40"/>
    <n v="40"/>
    <n v="40"/>
    <n v="40"/>
    <n v="50"/>
    <n v="50"/>
    <n v="50"/>
    <n v="50"/>
    <n v="50"/>
    <n v="50"/>
    <n v="2000"/>
    <n v="2000"/>
    <n v="2000"/>
    <n v="2000"/>
    <n v="2000"/>
    <n v="2000"/>
    <n v="2500"/>
    <n v="2500"/>
    <n v="2500"/>
    <n v="2500"/>
    <n v="2500"/>
    <n v="2500"/>
    <n v="240"/>
    <x v="8"/>
    <x v="16"/>
    <x v="20"/>
    <x v="13"/>
  </r>
  <r>
    <x v="4"/>
    <x v="15"/>
    <x v="5"/>
    <x v="0"/>
    <n v="10"/>
    <x v="4"/>
    <n v="10"/>
    <n v="10"/>
    <n v="10"/>
    <n v="10"/>
    <n v="12"/>
    <n v="12"/>
    <n v="12"/>
    <n v="12"/>
    <n v="12"/>
    <n v="12"/>
    <n v="500"/>
    <n v="500"/>
    <n v="500"/>
    <n v="500"/>
    <n v="500"/>
    <n v="500"/>
    <n v="600"/>
    <n v="600"/>
    <n v="600"/>
    <n v="600"/>
    <n v="600"/>
    <n v="600"/>
    <n v="60"/>
    <x v="6"/>
    <x v="5"/>
    <x v="7"/>
    <x v="4"/>
  </r>
  <r>
    <x v="4"/>
    <x v="15"/>
    <x v="9"/>
    <x v="8"/>
    <n v="30"/>
    <x v="6"/>
    <n v="30"/>
    <n v="30"/>
    <n v="30"/>
    <n v="30"/>
    <n v="30"/>
    <n v="30"/>
    <n v="30"/>
    <n v="30"/>
    <n v="30"/>
    <n v="30"/>
    <n v="3600"/>
    <n v="3600"/>
    <n v="3600"/>
    <n v="3600"/>
    <n v="3600"/>
    <n v="3600"/>
    <n v="3600"/>
    <n v="3600"/>
    <n v="3600"/>
    <n v="3600"/>
    <n v="3600"/>
    <n v="3600"/>
    <n v="180"/>
    <x v="14"/>
    <x v="15"/>
    <x v="18"/>
    <x v="2"/>
  </r>
  <r>
    <x v="4"/>
    <x v="16"/>
    <x v="11"/>
    <x v="9"/>
    <n v="160"/>
    <x v="7"/>
    <n v="160"/>
    <n v="160"/>
    <n v="160"/>
    <n v="160"/>
    <n v="160"/>
    <n v="160"/>
    <n v="160"/>
    <n v="160"/>
    <n v="160"/>
    <n v="160"/>
    <n v="7200"/>
    <n v="7200"/>
    <n v="7200"/>
    <n v="7200"/>
    <n v="7200"/>
    <n v="7200"/>
    <n v="7200"/>
    <n v="7200"/>
    <n v="7200"/>
    <n v="7200"/>
    <n v="7200"/>
    <n v="7200"/>
    <n v="960"/>
    <x v="4"/>
    <x v="17"/>
    <x v="21"/>
    <x v="2"/>
  </r>
  <r>
    <x v="4"/>
    <x v="16"/>
    <x v="12"/>
    <x v="10"/>
    <n v="160"/>
    <x v="7"/>
    <n v="160"/>
    <n v="160"/>
    <n v="160"/>
    <n v="160"/>
    <n v="80"/>
    <n v="80"/>
    <n v="80"/>
    <n v="80"/>
    <n v="80"/>
    <n v="80"/>
    <n v="14080"/>
    <n v="14080"/>
    <n v="14080"/>
    <n v="14080"/>
    <n v="14080"/>
    <n v="14080"/>
    <n v="7040"/>
    <n v="7040"/>
    <n v="7040"/>
    <n v="7040"/>
    <n v="7040"/>
    <n v="7040"/>
    <n v="960"/>
    <x v="12"/>
    <x v="18"/>
    <x v="22"/>
    <x v="14"/>
  </r>
  <r>
    <x v="4"/>
    <x v="16"/>
    <x v="5"/>
    <x v="0"/>
    <n v="10"/>
    <x v="4"/>
    <n v="10"/>
    <n v="10"/>
    <n v="10"/>
    <n v="10"/>
    <n v="12"/>
    <n v="12"/>
    <n v="12"/>
    <n v="12"/>
    <n v="12"/>
    <n v="12"/>
    <n v="500"/>
    <n v="500"/>
    <n v="500"/>
    <n v="500"/>
    <n v="500"/>
    <n v="500"/>
    <n v="600"/>
    <n v="600"/>
    <n v="600"/>
    <n v="600"/>
    <n v="600"/>
    <n v="600"/>
    <n v="60"/>
    <x v="6"/>
    <x v="5"/>
    <x v="7"/>
    <x v="4"/>
  </r>
  <r>
    <x v="4"/>
    <x v="16"/>
    <x v="7"/>
    <x v="6"/>
    <n v="20"/>
    <x v="0"/>
    <n v="20"/>
    <n v="20"/>
    <n v="20"/>
    <n v="20"/>
    <n v="25"/>
    <n v="25"/>
    <n v="25"/>
    <n v="25"/>
    <n v="25"/>
    <n v="25"/>
    <n v="1200"/>
    <n v="1200"/>
    <n v="1200"/>
    <n v="1200"/>
    <n v="1200"/>
    <n v="1200"/>
    <n v="1500"/>
    <n v="1500"/>
    <n v="1500"/>
    <n v="1500"/>
    <n v="1500"/>
    <n v="1500"/>
    <n v="120"/>
    <x v="11"/>
    <x v="9"/>
    <x v="13"/>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x v="0"/>
    <s v="Gail"/>
    <n v="50"/>
    <n v="20"/>
    <n v="20"/>
    <n v="20"/>
    <n v="20"/>
    <n v="20"/>
    <n v="20"/>
    <n v="24"/>
    <n v="24"/>
    <n v="24"/>
    <n v="30"/>
    <n v="30"/>
    <n v="30"/>
    <n v="1000"/>
    <n v="1000"/>
    <n v="1000"/>
    <n v="1000"/>
    <n v="1000"/>
    <n v="1000"/>
    <n v="1200"/>
    <n v="1200"/>
    <n v="1200"/>
    <n v="1500"/>
    <n v="1500"/>
    <n v="1500"/>
    <n v="120"/>
    <n v="162"/>
    <n v="6000"/>
    <n v="8100"/>
    <n v="-2100"/>
    <n v="1.35"/>
    <n v="-42"/>
  </r>
  <r>
    <x v="0"/>
    <x v="0"/>
    <s v="Tom"/>
    <n v="35"/>
    <n v="80"/>
    <n v="80"/>
    <n v="80"/>
    <n v="80"/>
    <n v="80"/>
    <n v="80"/>
    <n v="80"/>
    <n v="80"/>
    <n v="80"/>
    <n v="90"/>
    <n v="90"/>
    <n v="90"/>
    <n v="2800"/>
    <n v="2800"/>
    <n v="2800"/>
    <n v="2800"/>
    <n v="2800"/>
    <n v="2800"/>
    <n v="2800"/>
    <n v="2800"/>
    <n v="2800"/>
    <n v="3150"/>
    <n v="3150"/>
    <n v="3150"/>
    <n v="480"/>
    <n v="510"/>
    <n v="16800"/>
    <n v="17850"/>
    <n v="-1050"/>
    <n v="1.0625"/>
    <n v="-30"/>
  </r>
  <r>
    <x v="0"/>
    <x v="0"/>
    <s v="Jenny"/>
    <n v="75"/>
    <n v="40"/>
    <n v="40"/>
    <n v="40"/>
    <n v="40"/>
    <n v="40"/>
    <n v="40"/>
    <n v="40"/>
    <n v="40"/>
    <n v="40"/>
    <n v="40"/>
    <n v="40"/>
    <n v="40"/>
    <n v="3000"/>
    <n v="3000"/>
    <n v="3000"/>
    <n v="3000"/>
    <n v="3000"/>
    <n v="3000"/>
    <n v="3000"/>
    <n v="3000"/>
    <n v="3000"/>
    <n v="3000"/>
    <n v="3000"/>
    <n v="3000"/>
    <n v="240"/>
    <n v="240"/>
    <n v="18000"/>
    <n v="18000"/>
    <n v="0"/>
    <n v="1"/>
    <n v="0"/>
  </r>
  <r>
    <x v="0"/>
    <x v="0"/>
    <s v="Monique"/>
    <n v="105"/>
    <n v="20"/>
    <n v="20"/>
    <n v="20"/>
    <n v="20"/>
    <n v="20"/>
    <n v="20"/>
    <n v="20"/>
    <n v="20"/>
    <n v="20"/>
    <n v="20"/>
    <n v="20"/>
    <n v="20"/>
    <n v="2100"/>
    <n v="2100"/>
    <n v="2100"/>
    <n v="2100"/>
    <n v="2100"/>
    <n v="2100"/>
    <n v="2100"/>
    <n v="2100"/>
    <n v="2100"/>
    <n v="2100"/>
    <n v="2100"/>
    <n v="2100"/>
    <n v="120"/>
    <n v="120"/>
    <n v="12600"/>
    <n v="12600"/>
    <n v="0"/>
    <n v="1"/>
    <n v="0"/>
  </r>
  <r>
    <x v="0"/>
    <x v="0"/>
    <s v="Jim"/>
    <n v="90"/>
    <n v="140"/>
    <n v="140"/>
    <n v="140"/>
    <n v="140"/>
    <n v="140"/>
    <n v="140"/>
    <n v="160"/>
    <n v="160"/>
    <n v="160"/>
    <n v="160"/>
    <n v="160"/>
    <n v="160"/>
    <n v="12600"/>
    <n v="12600"/>
    <n v="12600"/>
    <n v="12600"/>
    <n v="12600"/>
    <n v="12600"/>
    <n v="14400"/>
    <n v="14400"/>
    <n v="14400"/>
    <n v="14400"/>
    <n v="14400"/>
    <n v="14400"/>
    <n v="840"/>
    <n v="960"/>
    <n v="75600"/>
    <n v="86400"/>
    <n v="-10800"/>
    <n v="1.1428571428571428"/>
    <n v="-120"/>
  </r>
  <r>
    <x v="0"/>
    <x v="1"/>
    <s v="Gail"/>
    <n v="50"/>
    <n v="10"/>
    <n v="10"/>
    <n v="10"/>
    <n v="10"/>
    <n v="10"/>
    <n v="10"/>
    <n v="10"/>
    <n v="10"/>
    <n v="10"/>
    <n v="10"/>
    <n v="10"/>
    <n v="10"/>
    <n v="500"/>
    <n v="500"/>
    <n v="500"/>
    <n v="500"/>
    <n v="500"/>
    <n v="500"/>
    <n v="500"/>
    <n v="500"/>
    <n v="500"/>
    <n v="500"/>
    <n v="500"/>
    <n v="500"/>
    <n v="60"/>
    <n v="60"/>
    <n v="3000"/>
    <n v="3000"/>
    <n v="0"/>
    <n v="1"/>
    <n v="0"/>
  </r>
  <r>
    <x v="0"/>
    <x v="1"/>
    <s v="Monique"/>
    <n v="105"/>
    <n v="20"/>
    <n v="20"/>
    <n v="20"/>
    <n v="20"/>
    <n v="20"/>
    <n v="20"/>
    <n v="20"/>
    <n v="20"/>
    <n v="20"/>
    <n v="20"/>
    <n v="20"/>
    <n v="20"/>
    <n v="2100"/>
    <n v="2100"/>
    <n v="2100"/>
    <n v="2100"/>
    <n v="2100"/>
    <n v="2100"/>
    <n v="2100"/>
    <n v="2100"/>
    <n v="2100"/>
    <n v="2100"/>
    <n v="2100"/>
    <n v="2100"/>
    <n v="120"/>
    <n v="120"/>
    <n v="12600"/>
    <n v="12600"/>
    <n v="0"/>
    <n v="1"/>
    <n v="0"/>
  </r>
  <r>
    <x v="0"/>
    <x v="2"/>
    <s v="Gail"/>
    <n v="50"/>
    <n v="20"/>
    <n v="20"/>
    <n v="20"/>
    <n v="20"/>
    <n v="20"/>
    <n v="20"/>
    <n v="20"/>
    <n v="20"/>
    <n v="20"/>
    <n v="20"/>
    <n v="20"/>
    <n v="20"/>
    <n v="1000"/>
    <n v="1000"/>
    <n v="1000"/>
    <n v="1000"/>
    <n v="1000"/>
    <n v="1000"/>
    <n v="1000"/>
    <n v="1000"/>
    <n v="1000"/>
    <n v="1000"/>
    <n v="1000"/>
    <n v="1000"/>
    <n v="120"/>
    <n v="120"/>
    <n v="6000"/>
    <n v="6000"/>
    <n v="0"/>
    <n v="1"/>
    <n v="0"/>
  </r>
  <r>
    <x v="0"/>
    <x v="2"/>
    <s v="Stanley"/>
    <n v="50"/>
    <n v="10"/>
    <n v="10"/>
    <n v="10"/>
    <n v="10"/>
    <n v="10"/>
    <n v="10"/>
    <n v="12"/>
    <n v="12"/>
    <n v="12"/>
    <n v="12"/>
    <n v="12"/>
    <n v="12"/>
    <n v="500"/>
    <n v="500"/>
    <n v="500"/>
    <n v="500"/>
    <n v="500"/>
    <n v="500"/>
    <n v="600"/>
    <n v="600"/>
    <n v="600"/>
    <n v="600"/>
    <n v="600"/>
    <n v="600"/>
    <n v="60"/>
    <n v="72"/>
    <n v="3000"/>
    <n v="3600"/>
    <n v="-600"/>
    <n v="1.2"/>
    <n v="-12"/>
  </r>
  <r>
    <x v="1"/>
    <x v="3"/>
    <s v="Gail"/>
    <n v="50"/>
    <n v="20"/>
    <n v="20"/>
    <n v="20"/>
    <n v="20"/>
    <n v="20"/>
    <n v="20"/>
    <n v="24"/>
    <n v="24"/>
    <n v="24"/>
    <n v="24"/>
    <n v="24"/>
    <n v="24"/>
    <n v="1000"/>
    <n v="1000"/>
    <n v="1000"/>
    <n v="1000"/>
    <n v="1000"/>
    <n v="1000"/>
    <n v="1200"/>
    <n v="1200"/>
    <n v="1200"/>
    <n v="1200"/>
    <n v="1200"/>
    <n v="1200"/>
    <n v="120"/>
    <n v="144"/>
    <n v="6000"/>
    <n v="7200"/>
    <n v="-1200"/>
    <n v="1.2"/>
    <n v="-24"/>
  </r>
  <r>
    <x v="1"/>
    <x v="3"/>
    <s v="Jenny"/>
    <n v="75"/>
    <n v="40"/>
    <n v="40"/>
    <n v="40"/>
    <n v="40"/>
    <n v="40"/>
    <n v="40"/>
    <n v="50"/>
    <n v="50"/>
    <n v="50"/>
    <n v="50"/>
    <n v="50"/>
    <n v="50"/>
    <n v="3000"/>
    <n v="3000"/>
    <n v="3000"/>
    <n v="3000"/>
    <n v="3000"/>
    <n v="3000"/>
    <n v="3750"/>
    <n v="3750"/>
    <n v="3750"/>
    <n v="3750"/>
    <n v="3750"/>
    <n v="3750"/>
    <n v="240"/>
    <n v="300"/>
    <n v="18000"/>
    <n v="22500"/>
    <n v="-4500"/>
    <n v="1.25"/>
    <n v="-60"/>
  </r>
  <r>
    <x v="1"/>
    <x v="3"/>
    <s v="Stanley"/>
    <n v="50"/>
    <n v="10"/>
    <n v="10"/>
    <n v="10"/>
    <n v="10"/>
    <n v="10"/>
    <n v="10"/>
    <n v="12"/>
    <n v="12"/>
    <n v="12"/>
    <n v="12"/>
    <n v="12"/>
    <n v="12"/>
    <n v="500"/>
    <n v="500"/>
    <n v="500"/>
    <n v="500"/>
    <n v="500"/>
    <n v="500"/>
    <n v="600"/>
    <n v="600"/>
    <n v="600"/>
    <n v="600"/>
    <n v="600"/>
    <n v="600"/>
    <n v="60"/>
    <n v="72"/>
    <n v="3000"/>
    <n v="3600"/>
    <n v="-600"/>
    <n v="1.2"/>
    <n v="-12"/>
  </r>
  <r>
    <x v="1"/>
    <x v="4"/>
    <s v="Gail"/>
    <n v="50"/>
    <n v="5"/>
    <n v="5"/>
    <n v="5"/>
    <n v="5"/>
    <n v="5"/>
    <n v="5"/>
    <n v="5"/>
    <n v="5"/>
    <n v="5"/>
    <n v="5"/>
    <n v="5"/>
    <n v="5"/>
    <n v="250"/>
    <n v="250"/>
    <n v="250"/>
    <n v="250"/>
    <n v="250"/>
    <n v="250"/>
    <n v="250"/>
    <n v="250"/>
    <n v="250"/>
    <n v="250"/>
    <n v="250"/>
    <n v="250"/>
    <n v="30"/>
    <n v="30"/>
    <n v="1500"/>
    <n v="1500"/>
    <n v="0"/>
    <n v="1"/>
    <n v="0"/>
  </r>
  <r>
    <x v="1"/>
    <x v="4"/>
    <s v="Monique"/>
    <n v="105"/>
    <n v="40"/>
    <n v="40"/>
    <n v="40"/>
    <n v="40"/>
    <n v="40"/>
    <n v="40"/>
    <n v="40"/>
    <n v="40"/>
    <n v="40"/>
    <n v="40"/>
    <n v="40"/>
    <n v="40"/>
    <n v="4200"/>
    <n v="4200"/>
    <n v="4200"/>
    <n v="4200"/>
    <n v="4200"/>
    <n v="4200"/>
    <n v="4200"/>
    <n v="4200"/>
    <n v="4200"/>
    <n v="4200"/>
    <n v="4200"/>
    <n v="4200"/>
    <n v="240"/>
    <n v="240"/>
    <n v="25200"/>
    <n v="25200"/>
    <n v="0"/>
    <n v="1"/>
    <n v="0"/>
  </r>
  <r>
    <x v="1"/>
    <x v="4"/>
    <s v="Erica"/>
    <n v="140"/>
    <n v="40"/>
    <n v="40"/>
    <n v="40"/>
    <n v="40"/>
    <n v="40"/>
    <n v="40"/>
    <n v="50"/>
    <n v="50"/>
    <n v="50"/>
    <n v="25"/>
    <n v="25"/>
    <n v="25"/>
    <n v="5600"/>
    <n v="5600"/>
    <n v="5600"/>
    <n v="5600"/>
    <n v="5600"/>
    <n v="5600"/>
    <n v="7000"/>
    <n v="7000"/>
    <n v="7000"/>
    <n v="3500"/>
    <n v="3500"/>
    <n v="3500"/>
    <n v="240"/>
    <n v="225"/>
    <n v="33600"/>
    <n v="31500"/>
    <n v="2100"/>
    <n v="0.9375"/>
    <n v="15"/>
  </r>
  <r>
    <x v="1"/>
    <x v="5"/>
    <s v="Stanley"/>
    <n v="50"/>
    <n v="10"/>
    <n v="10"/>
    <n v="10"/>
    <n v="10"/>
    <n v="10"/>
    <n v="10"/>
    <n v="12"/>
    <n v="12"/>
    <n v="12"/>
    <n v="12"/>
    <n v="12"/>
    <n v="12"/>
    <n v="500"/>
    <n v="500"/>
    <n v="500"/>
    <n v="500"/>
    <n v="500"/>
    <n v="500"/>
    <n v="600"/>
    <n v="600"/>
    <n v="600"/>
    <n v="600"/>
    <n v="600"/>
    <n v="600"/>
    <n v="60"/>
    <n v="72"/>
    <n v="3000"/>
    <n v="3600"/>
    <n v="-600"/>
    <n v="1.2"/>
    <n v="-12"/>
  </r>
  <r>
    <x v="1"/>
    <x v="5"/>
    <s v="George"/>
    <n v="60"/>
    <n v="20"/>
    <n v="20"/>
    <n v="20"/>
    <n v="20"/>
    <n v="20"/>
    <n v="20"/>
    <n v="25"/>
    <n v="25"/>
    <n v="25"/>
    <n v="25"/>
    <n v="25"/>
    <n v="25"/>
    <n v="1200"/>
    <n v="1200"/>
    <n v="1200"/>
    <n v="1200"/>
    <n v="1200"/>
    <n v="1200"/>
    <n v="1500"/>
    <n v="1500"/>
    <n v="1500"/>
    <n v="1500"/>
    <n v="1500"/>
    <n v="1500"/>
    <n v="120"/>
    <n v="150"/>
    <n v="7200"/>
    <n v="9000"/>
    <n v="-1800"/>
    <n v="1.25"/>
    <n v="-30"/>
  </r>
  <r>
    <x v="1"/>
    <x v="5"/>
    <s v="Erica"/>
    <n v="140"/>
    <n v="40"/>
    <n v="40"/>
    <n v="40"/>
    <n v="40"/>
    <n v="40"/>
    <n v="40"/>
    <n v="50"/>
    <n v="50"/>
    <n v="50"/>
    <n v="25"/>
    <n v="25"/>
    <n v="25"/>
    <n v="5600"/>
    <n v="5600"/>
    <n v="5600"/>
    <n v="5600"/>
    <n v="5600"/>
    <n v="5600"/>
    <n v="7000"/>
    <n v="7000"/>
    <n v="7000"/>
    <n v="3500"/>
    <n v="3500"/>
    <n v="3500"/>
    <n v="240"/>
    <n v="225"/>
    <n v="33600"/>
    <n v="31500"/>
    <n v="2100"/>
    <n v="0.9375"/>
    <n v="15"/>
  </r>
  <r>
    <x v="2"/>
    <x v="6"/>
    <s v="Gail"/>
    <n v="50"/>
    <n v="10"/>
    <n v="10"/>
    <n v="10"/>
    <n v="10"/>
    <n v="10"/>
    <n v="10"/>
    <n v="5"/>
    <n v="5"/>
    <n v="5"/>
    <n v="5"/>
    <n v="5"/>
    <n v="5"/>
    <n v="500"/>
    <n v="500"/>
    <n v="500"/>
    <n v="500"/>
    <n v="500"/>
    <n v="500"/>
    <n v="250"/>
    <n v="250"/>
    <n v="250"/>
    <n v="250"/>
    <n v="250"/>
    <n v="250"/>
    <n v="60"/>
    <n v="30"/>
    <n v="3000"/>
    <n v="1500"/>
    <n v="1500"/>
    <n v="0.5"/>
    <n v="30"/>
  </r>
  <r>
    <x v="2"/>
    <x v="6"/>
    <s v="Tom"/>
    <n v="35"/>
    <n v="80"/>
    <n v="80"/>
    <n v="80"/>
    <n v="80"/>
    <n v="80"/>
    <n v="80"/>
    <n v="80"/>
    <n v="80"/>
    <n v="80"/>
    <n v="80"/>
    <n v="80"/>
    <n v="80"/>
    <n v="2800"/>
    <n v="2800"/>
    <n v="2800"/>
    <n v="2800"/>
    <n v="2800"/>
    <n v="2800"/>
    <n v="2800"/>
    <n v="2800"/>
    <n v="2800"/>
    <n v="2800"/>
    <n v="2800"/>
    <n v="2800"/>
    <n v="480"/>
    <n v="480"/>
    <n v="16800"/>
    <n v="16800"/>
    <n v="0"/>
    <n v="1"/>
    <n v="0"/>
  </r>
  <r>
    <x v="2"/>
    <x v="6"/>
    <s v="Jenny"/>
    <n v="75"/>
    <n v="80"/>
    <n v="80"/>
    <n v="80"/>
    <n v="80"/>
    <n v="80"/>
    <n v="80"/>
    <n v="80"/>
    <n v="80"/>
    <n v="80"/>
    <n v="80"/>
    <n v="80"/>
    <n v="80"/>
    <n v="6000"/>
    <n v="6000"/>
    <n v="6000"/>
    <n v="6000"/>
    <n v="6000"/>
    <n v="6000"/>
    <n v="6000"/>
    <n v="6000"/>
    <n v="6000"/>
    <n v="6000"/>
    <n v="6000"/>
    <n v="6000"/>
    <n v="480"/>
    <n v="480"/>
    <n v="36000"/>
    <n v="36000"/>
    <n v="0"/>
    <n v="1"/>
    <n v="0"/>
  </r>
  <r>
    <x v="2"/>
    <x v="6"/>
    <s v="George"/>
    <n v="60"/>
    <n v="20"/>
    <n v="20"/>
    <n v="20"/>
    <n v="20"/>
    <n v="20"/>
    <n v="20"/>
    <n v="25"/>
    <n v="25"/>
    <n v="25"/>
    <n v="25"/>
    <n v="25"/>
    <n v="25"/>
    <n v="1200"/>
    <n v="1200"/>
    <n v="1200"/>
    <n v="1200"/>
    <n v="1200"/>
    <n v="1200"/>
    <n v="1500"/>
    <n v="1500"/>
    <n v="1500"/>
    <n v="1500"/>
    <n v="1500"/>
    <n v="1500"/>
    <n v="120"/>
    <n v="150"/>
    <n v="7200"/>
    <n v="9000"/>
    <n v="-1800"/>
    <n v="1.25"/>
    <n v="-30"/>
  </r>
  <r>
    <x v="2"/>
    <x v="7"/>
    <s v="Monique"/>
    <n v="105"/>
    <n v="80"/>
    <n v="80"/>
    <n v="80"/>
    <n v="80"/>
    <n v="80"/>
    <n v="80"/>
    <n v="120"/>
    <n v="120"/>
    <n v="120"/>
    <n v="120"/>
    <n v="120"/>
    <n v="120"/>
    <n v="8400"/>
    <n v="8400"/>
    <n v="8400"/>
    <n v="8400"/>
    <n v="8400"/>
    <n v="8400"/>
    <n v="12600"/>
    <n v="12600"/>
    <n v="12600"/>
    <n v="12600"/>
    <n v="12600"/>
    <n v="12600"/>
    <n v="480"/>
    <n v="720"/>
    <n v="50400"/>
    <n v="75600"/>
    <n v="-25200"/>
    <n v="1.5"/>
    <n v="-240"/>
  </r>
  <r>
    <x v="2"/>
    <x v="7"/>
    <s v="Stanley"/>
    <n v="50"/>
    <n v="10"/>
    <n v="10"/>
    <n v="10"/>
    <n v="10"/>
    <n v="10"/>
    <n v="10"/>
    <n v="12"/>
    <n v="12"/>
    <n v="12"/>
    <n v="12"/>
    <n v="12"/>
    <n v="12"/>
    <n v="500"/>
    <n v="500"/>
    <n v="500"/>
    <n v="500"/>
    <n v="500"/>
    <n v="500"/>
    <n v="600"/>
    <n v="600"/>
    <n v="600"/>
    <n v="600"/>
    <n v="600"/>
    <n v="600"/>
    <n v="60"/>
    <n v="72"/>
    <n v="3000"/>
    <n v="3600"/>
    <n v="-600"/>
    <n v="1.2"/>
    <n v="-12"/>
  </r>
  <r>
    <x v="2"/>
    <x v="7"/>
    <s v="George"/>
    <n v="60"/>
    <n v="20"/>
    <n v="20"/>
    <n v="20"/>
    <n v="20"/>
    <n v="20"/>
    <n v="20"/>
    <n v="25"/>
    <n v="25"/>
    <n v="25"/>
    <n v="25"/>
    <n v="25"/>
    <n v="25"/>
    <n v="1200"/>
    <n v="1200"/>
    <n v="1200"/>
    <n v="1200"/>
    <n v="1200"/>
    <n v="1200"/>
    <n v="1500"/>
    <n v="1500"/>
    <n v="1500"/>
    <n v="1500"/>
    <n v="1500"/>
    <n v="1500"/>
    <n v="120"/>
    <n v="150"/>
    <n v="7200"/>
    <n v="9000"/>
    <n v="-1800"/>
    <n v="1.25"/>
    <n v="-30"/>
  </r>
  <r>
    <x v="2"/>
    <x v="8"/>
    <s v="Gail"/>
    <n v="50"/>
    <n v="30"/>
    <n v="30"/>
    <n v="30"/>
    <n v="30"/>
    <n v="30"/>
    <n v="30"/>
    <n v="30"/>
    <n v="30"/>
    <n v="30"/>
    <n v="30"/>
    <n v="30"/>
    <n v="30"/>
    <n v="1500"/>
    <n v="1500"/>
    <n v="1500"/>
    <n v="1500"/>
    <n v="1500"/>
    <n v="1500"/>
    <n v="1500"/>
    <n v="1500"/>
    <n v="1500"/>
    <n v="1500"/>
    <n v="1500"/>
    <n v="1500"/>
    <n v="180"/>
    <n v="180"/>
    <n v="9000"/>
    <n v="9000"/>
    <n v="0"/>
    <n v="1"/>
    <n v="0"/>
  </r>
  <r>
    <x v="2"/>
    <x v="8"/>
    <s v="Stanley"/>
    <n v="50"/>
    <n v="10"/>
    <n v="10"/>
    <n v="10"/>
    <n v="10"/>
    <n v="10"/>
    <n v="10"/>
    <n v="12"/>
    <n v="12"/>
    <n v="12"/>
    <n v="12"/>
    <n v="12"/>
    <n v="12"/>
    <n v="500"/>
    <n v="500"/>
    <n v="500"/>
    <n v="500"/>
    <n v="500"/>
    <n v="500"/>
    <n v="600"/>
    <n v="600"/>
    <n v="600"/>
    <n v="600"/>
    <n v="600"/>
    <n v="600"/>
    <n v="60"/>
    <n v="72"/>
    <n v="3000"/>
    <n v="3600"/>
    <n v="-600"/>
    <n v="1.2"/>
    <n v="-12"/>
  </r>
  <r>
    <x v="2"/>
    <x v="8"/>
    <s v="Erica"/>
    <n v="140"/>
    <n v="40"/>
    <n v="40"/>
    <n v="40"/>
    <n v="40"/>
    <n v="40"/>
    <n v="40"/>
    <n v="50"/>
    <n v="50"/>
    <n v="50"/>
    <n v="25"/>
    <n v="25"/>
    <n v="25"/>
    <n v="5600"/>
    <n v="5600"/>
    <n v="5600"/>
    <n v="5600"/>
    <n v="5600"/>
    <n v="5600"/>
    <n v="7000"/>
    <n v="7000"/>
    <n v="7000"/>
    <n v="3500"/>
    <n v="3500"/>
    <n v="3500"/>
    <n v="240"/>
    <n v="225"/>
    <n v="33600"/>
    <n v="31500"/>
    <n v="2100"/>
    <n v="0.9375"/>
    <n v="15"/>
  </r>
  <r>
    <x v="2"/>
    <x v="9"/>
    <s v="Stanley"/>
    <n v="50"/>
    <n v="10"/>
    <n v="10"/>
    <n v="10"/>
    <n v="10"/>
    <n v="10"/>
    <n v="10"/>
    <n v="12"/>
    <n v="12"/>
    <n v="12"/>
    <n v="12"/>
    <n v="12"/>
    <n v="12"/>
    <n v="500"/>
    <n v="500"/>
    <n v="500"/>
    <n v="500"/>
    <n v="500"/>
    <n v="500"/>
    <n v="600"/>
    <n v="600"/>
    <n v="600"/>
    <n v="600"/>
    <n v="600"/>
    <n v="600"/>
    <n v="60"/>
    <n v="72"/>
    <n v="3000"/>
    <n v="3600"/>
    <n v="-600"/>
    <n v="1.2"/>
    <n v="-12"/>
  </r>
  <r>
    <x v="2"/>
    <x v="9"/>
    <s v="George"/>
    <n v="60"/>
    <n v="20"/>
    <n v="20"/>
    <n v="20"/>
    <n v="20"/>
    <n v="20"/>
    <n v="20"/>
    <n v="25"/>
    <n v="25"/>
    <n v="25"/>
    <n v="25"/>
    <n v="25"/>
    <n v="25"/>
    <n v="1200"/>
    <n v="1200"/>
    <n v="1200"/>
    <n v="1200"/>
    <n v="1200"/>
    <n v="1200"/>
    <n v="1500"/>
    <n v="1500"/>
    <n v="1500"/>
    <n v="1500"/>
    <n v="1500"/>
    <n v="1500"/>
    <n v="120"/>
    <n v="150"/>
    <n v="7200"/>
    <n v="9000"/>
    <n v="-1800"/>
    <n v="1.25"/>
    <n v="-30"/>
  </r>
  <r>
    <x v="2"/>
    <x v="10"/>
    <s v="Erica"/>
    <n v="140"/>
    <n v="40"/>
    <n v="40"/>
    <n v="40"/>
    <n v="40"/>
    <n v="40"/>
    <n v="40"/>
    <n v="50"/>
    <n v="50"/>
    <n v="50"/>
    <n v="25"/>
    <n v="25"/>
    <n v="25"/>
    <n v="5600"/>
    <n v="5600"/>
    <n v="5600"/>
    <n v="5600"/>
    <n v="5600"/>
    <n v="5600"/>
    <n v="7000"/>
    <n v="7000"/>
    <n v="7000"/>
    <n v="3500"/>
    <n v="3500"/>
    <n v="3500"/>
    <n v="240"/>
    <n v="225"/>
    <n v="33600"/>
    <n v="31500"/>
    <n v="2100"/>
    <n v="0.9375"/>
    <n v="15"/>
  </r>
  <r>
    <x v="2"/>
    <x v="10"/>
    <s v="Stanley"/>
    <n v="50"/>
    <n v="10"/>
    <n v="10"/>
    <n v="10"/>
    <n v="10"/>
    <n v="10"/>
    <n v="10"/>
    <n v="12"/>
    <n v="12"/>
    <n v="12"/>
    <n v="12"/>
    <n v="12"/>
    <n v="12"/>
    <n v="500"/>
    <n v="500"/>
    <n v="500"/>
    <n v="500"/>
    <n v="500"/>
    <n v="500"/>
    <n v="600"/>
    <n v="600"/>
    <n v="600"/>
    <n v="600"/>
    <n v="600"/>
    <n v="600"/>
    <n v="60"/>
    <n v="72"/>
    <n v="3000"/>
    <n v="3600"/>
    <n v="-600"/>
    <n v="1.2"/>
    <n v="-12"/>
  </r>
  <r>
    <x v="3"/>
    <x v="11"/>
    <s v="Jim"/>
    <n v="90"/>
    <n v="20"/>
    <n v="20"/>
    <n v="20"/>
    <n v="20"/>
    <n v="20"/>
    <n v="20"/>
    <n v="15"/>
    <n v="15"/>
    <n v="15"/>
    <n v="15"/>
    <n v="15"/>
    <n v="15"/>
    <n v="1800"/>
    <n v="1800"/>
    <n v="1800"/>
    <n v="1800"/>
    <n v="1800"/>
    <n v="1800"/>
    <n v="1350"/>
    <n v="1350"/>
    <n v="1350"/>
    <n v="1350"/>
    <n v="1350"/>
    <n v="1350"/>
    <n v="120"/>
    <n v="90"/>
    <n v="10800"/>
    <n v="8100"/>
    <n v="2700"/>
    <n v="0.75"/>
    <n v="30"/>
  </r>
  <r>
    <x v="3"/>
    <x v="11"/>
    <s v="Inigo"/>
    <n v="95"/>
    <n v="160"/>
    <n v="160"/>
    <n v="160"/>
    <n v="160"/>
    <n v="160"/>
    <n v="160"/>
    <n v="110"/>
    <n v="110"/>
    <n v="110"/>
    <n v="110"/>
    <n v="110"/>
    <n v="110"/>
    <n v="15200"/>
    <n v="15200"/>
    <n v="15200"/>
    <n v="15200"/>
    <n v="15200"/>
    <n v="15200"/>
    <n v="10450"/>
    <n v="10450"/>
    <n v="10450"/>
    <n v="10450"/>
    <n v="10450"/>
    <n v="10450"/>
    <n v="960"/>
    <n v="660"/>
    <n v="91200"/>
    <n v="62700"/>
    <n v="28500"/>
    <n v="0.6875"/>
    <n v="300"/>
  </r>
  <r>
    <x v="3"/>
    <x v="11"/>
    <s v="George"/>
    <n v="60"/>
    <n v="20"/>
    <n v="20"/>
    <n v="20"/>
    <n v="20"/>
    <n v="20"/>
    <n v="20"/>
    <n v="25"/>
    <n v="25"/>
    <n v="25"/>
    <n v="25"/>
    <n v="25"/>
    <n v="25"/>
    <n v="1200"/>
    <n v="1200"/>
    <n v="1200"/>
    <n v="1200"/>
    <n v="1200"/>
    <n v="1200"/>
    <n v="1500"/>
    <n v="1500"/>
    <n v="1500"/>
    <n v="1500"/>
    <n v="1500"/>
    <n v="1500"/>
    <n v="120"/>
    <n v="150"/>
    <n v="7200"/>
    <n v="9000"/>
    <n v="-1800"/>
    <n v="1.25"/>
    <n v="-30"/>
  </r>
  <r>
    <x v="3"/>
    <x v="11"/>
    <s v="Crystal"/>
    <n v="120"/>
    <n v="30"/>
    <n v="30"/>
    <n v="30"/>
    <n v="30"/>
    <n v="30"/>
    <n v="30"/>
    <n v="30"/>
    <n v="30"/>
    <n v="30"/>
    <n v="30"/>
    <n v="30"/>
    <n v="30"/>
    <n v="3600"/>
    <n v="3600"/>
    <n v="3600"/>
    <n v="3600"/>
    <n v="3600"/>
    <n v="3600"/>
    <n v="3600"/>
    <n v="3600"/>
    <n v="3600"/>
    <n v="3600"/>
    <n v="3600"/>
    <n v="3600"/>
    <n v="180"/>
    <n v="180"/>
    <n v="21600"/>
    <n v="21600"/>
    <n v="0"/>
    <n v="1"/>
    <n v="0"/>
  </r>
  <r>
    <x v="3"/>
    <x v="12"/>
    <s v="Sarah"/>
    <n v="75"/>
    <n v="80"/>
    <n v="80"/>
    <n v="80"/>
    <n v="80"/>
    <n v="80"/>
    <n v="80"/>
    <n v="80"/>
    <n v="80"/>
    <n v="80"/>
    <n v="80"/>
    <n v="80"/>
    <n v="80"/>
    <n v="6000"/>
    <n v="6000"/>
    <n v="6000"/>
    <n v="6000"/>
    <n v="6000"/>
    <n v="6000"/>
    <n v="6000"/>
    <n v="6000"/>
    <n v="6000"/>
    <n v="6000"/>
    <n v="6000"/>
    <n v="6000"/>
    <n v="480"/>
    <n v="480"/>
    <n v="36000"/>
    <n v="36000"/>
    <n v="0"/>
    <n v="1"/>
    <n v="0"/>
  </r>
  <r>
    <x v="3"/>
    <x v="12"/>
    <s v="Stanley"/>
    <n v="50"/>
    <n v="10"/>
    <n v="10"/>
    <n v="10"/>
    <n v="10"/>
    <n v="10"/>
    <n v="10"/>
    <n v="12"/>
    <n v="12"/>
    <n v="12"/>
    <n v="12"/>
    <n v="12"/>
    <n v="12"/>
    <n v="500"/>
    <n v="500"/>
    <n v="500"/>
    <n v="500"/>
    <n v="500"/>
    <n v="500"/>
    <n v="600"/>
    <n v="600"/>
    <n v="600"/>
    <n v="600"/>
    <n v="600"/>
    <n v="600"/>
    <n v="60"/>
    <n v="72"/>
    <n v="3000"/>
    <n v="3600"/>
    <n v="-600"/>
    <n v="1.2"/>
    <n v="-12"/>
  </r>
  <r>
    <x v="3"/>
    <x v="12"/>
    <s v="George"/>
    <n v="60"/>
    <n v="20"/>
    <n v="20"/>
    <n v="20"/>
    <n v="20"/>
    <n v="20"/>
    <n v="20"/>
    <n v="25"/>
    <n v="25"/>
    <n v="25"/>
    <n v="25"/>
    <n v="25"/>
    <n v="25"/>
    <n v="1200"/>
    <n v="1200"/>
    <n v="1200"/>
    <n v="1200"/>
    <n v="1200"/>
    <n v="1200"/>
    <n v="1500"/>
    <n v="1500"/>
    <n v="1500"/>
    <n v="1500"/>
    <n v="1500"/>
    <n v="1500"/>
    <n v="120"/>
    <n v="150"/>
    <n v="7200"/>
    <n v="9000"/>
    <n v="-1800"/>
    <n v="1.25"/>
    <n v="-30"/>
  </r>
  <r>
    <x v="3"/>
    <x v="12"/>
    <s v="Crystal"/>
    <n v="120"/>
    <n v="30"/>
    <n v="30"/>
    <n v="30"/>
    <n v="30"/>
    <n v="30"/>
    <n v="30"/>
    <n v="30"/>
    <n v="30"/>
    <n v="30"/>
    <n v="30"/>
    <n v="30"/>
    <n v="30"/>
    <n v="3600"/>
    <n v="3600"/>
    <n v="3600"/>
    <n v="3600"/>
    <n v="3600"/>
    <n v="3600"/>
    <n v="3600"/>
    <n v="3600"/>
    <n v="3600"/>
    <n v="3600"/>
    <n v="3600"/>
    <n v="3600"/>
    <n v="180"/>
    <n v="180"/>
    <n v="21600"/>
    <n v="21600"/>
    <n v="0"/>
    <n v="1"/>
    <n v="0"/>
  </r>
  <r>
    <x v="3"/>
    <x v="13"/>
    <s v="Sarah"/>
    <n v="75"/>
    <n v="80"/>
    <n v="80"/>
    <n v="80"/>
    <n v="80"/>
    <n v="80"/>
    <n v="80"/>
    <n v="90"/>
    <n v="90"/>
    <n v="90"/>
    <n v="90"/>
    <n v="90"/>
    <n v="90"/>
    <n v="6000"/>
    <n v="6000"/>
    <n v="6000"/>
    <n v="6000"/>
    <n v="6000"/>
    <n v="6000"/>
    <n v="6750"/>
    <n v="6750"/>
    <n v="6750"/>
    <n v="6750"/>
    <n v="6750"/>
    <n v="6750"/>
    <n v="480"/>
    <n v="540"/>
    <n v="36000"/>
    <n v="40500"/>
    <n v="-4500"/>
    <n v="1.125"/>
    <n v="-60"/>
  </r>
  <r>
    <x v="3"/>
    <x v="13"/>
    <s v="Stanley"/>
    <n v="50"/>
    <n v="10"/>
    <n v="10"/>
    <n v="10"/>
    <n v="10"/>
    <n v="10"/>
    <n v="10"/>
    <n v="12"/>
    <n v="12"/>
    <n v="12"/>
    <n v="12"/>
    <n v="12"/>
    <n v="12"/>
    <n v="500"/>
    <n v="500"/>
    <n v="500"/>
    <n v="500"/>
    <n v="500"/>
    <n v="500"/>
    <n v="600"/>
    <n v="600"/>
    <n v="600"/>
    <n v="600"/>
    <n v="600"/>
    <n v="600"/>
    <n v="60"/>
    <n v="72"/>
    <n v="3000"/>
    <n v="3600"/>
    <n v="-600"/>
    <n v="1.2"/>
    <n v="-12"/>
  </r>
  <r>
    <x v="3"/>
    <x v="13"/>
    <s v="Crystal"/>
    <n v="120"/>
    <n v="30"/>
    <n v="30"/>
    <n v="30"/>
    <n v="30"/>
    <n v="30"/>
    <n v="30"/>
    <n v="30"/>
    <n v="30"/>
    <n v="30"/>
    <n v="30"/>
    <n v="30"/>
    <n v="30"/>
    <n v="3600"/>
    <n v="3600"/>
    <n v="3600"/>
    <n v="3600"/>
    <n v="3600"/>
    <n v="3600"/>
    <n v="3600"/>
    <n v="3600"/>
    <n v="3600"/>
    <n v="3600"/>
    <n v="3600"/>
    <n v="3600"/>
    <n v="180"/>
    <n v="180"/>
    <n v="21600"/>
    <n v="21600"/>
    <n v="0"/>
    <n v="1"/>
    <n v="0"/>
  </r>
  <r>
    <x v="3"/>
    <x v="14"/>
    <s v="Stanley"/>
    <n v="50"/>
    <n v="10"/>
    <n v="10"/>
    <n v="10"/>
    <n v="10"/>
    <n v="10"/>
    <n v="10"/>
    <n v="12"/>
    <n v="12"/>
    <n v="12"/>
    <n v="12"/>
    <n v="12"/>
    <n v="12"/>
    <n v="500"/>
    <n v="500"/>
    <n v="500"/>
    <n v="500"/>
    <n v="500"/>
    <n v="500"/>
    <n v="600"/>
    <n v="600"/>
    <n v="600"/>
    <n v="600"/>
    <n v="600"/>
    <n v="600"/>
    <n v="60"/>
    <n v="72"/>
    <n v="3000"/>
    <n v="3600"/>
    <n v="-600"/>
    <n v="1.2"/>
    <n v="-12"/>
  </r>
  <r>
    <x v="3"/>
    <x v="14"/>
    <s v="George"/>
    <n v="60"/>
    <n v="20"/>
    <n v="20"/>
    <n v="20"/>
    <n v="20"/>
    <n v="20"/>
    <n v="20"/>
    <n v="25"/>
    <n v="25"/>
    <n v="25"/>
    <n v="25"/>
    <n v="25"/>
    <n v="25"/>
    <n v="1200"/>
    <n v="1200"/>
    <n v="1200"/>
    <n v="1200"/>
    <n v="1200"/>
    <n v="1200"/>
    <n v="1500"/>
    <n v="1500"/>
    <n v="1500"/>
    <n v="1500"/>
    <n v="1500"/>
    <n v="1500"/>
    <n v="120"/>
    <n v="150"/>
    <n v="7200"/>
    <n v="9000"/>
    <n v="-1800"/>
    <n v="1.25"/>
    <n v="-30"/>
  </r>
  <r>
    <x v="3"/>
    <x v="14"/>
    <s v="Crystal"/>
    <n v="120"/>
    <n v="30"/>
    <n v="30"/>
    <n v="30"/>
    <n v="30"/>
    <n v="30"/>
    <n v="30"/>
    <n v="30"/>
    <n v="30"/>
    <n v="30"/>
    <n v="30"/>
    <n v="30"/>
    <n v="30"/>
    <n v="3600"/>
    <n v="3600"/>
    <n v="3600"/>
    <n v="3600"/>
    <n v="3600"/>
    <n v="3600"/>
    <n v="3600"/>
    <n v="3600"/>
    <n v="3600"/>
    <n v="3600"/>
    <n v="3600"/>
    <n v="3600"/>
    <n v="180"/>
    <n v="180"/>
    <n v="21600"/>
    <n v="21600"/>
    <n v="0"/>
    <n v="1"/>
    <n v="0"/>
  </r>
  <r>
    <x v="4"/>
    <x v="15"/>
    <s v="Gail"/>
    <n v="50"/>
    <n v="40"/>
    <n v="40"/>
    <n v="40"/>
    <n v="40"/>
    <n v="40"/>
    <n v="40"/>
    <n v="50"/>
    <n v="50"/>
    <n v="50"/>
    <n v="50"/>
    <n v="50"/>
    <n v="50"/>
    <n v="2000"/>
    <n v="2000"/>
    <n v="2000"/>
    <n v="2000"/>
    <n v="2000"/>
    <n v="2000"/>
    <n v="2500"/>
    <n v="2500"/>
    <n v="2500"/>
    <n v="2500"/>
    <n v="2500"/>
    <n v="2500"/>
    <n v="240"/>
    <n v="300"/>
    <n v="12000"/>
    <n v="15000"/>
    <n v="-3000"/>
    <n v="1.25"/>
    <n v="-60"/>
  </r>
  <r>
    <x v="4"/>
    <x v="15"/>
    <s v="Stanley"/>
    <n v="50"/>
    <n v="10"/>
    <n v="10"/>
    <n v="10"/>
    <n v="10"/>
    <n v="10"/>
    <n v="10"/>
    <n v="12"/>
    <n v="12"/>
    <n v="12"/>
    <n v="12"/>
    <n v="12"/>
    <n v="12"/>
    <n v="500"/>
    <n v="500"/>
    <n v="500"/>
    <n v="500"/>
    <n v="500"/>
    <n v="500"/>
    <n v="600"/>
    <n v="600"/>
    <n v="600"/>
    <n v="600"/>
    <n v="600"/>
    <n v="600"/>
    <n v="60"/>
    <n v="72"/>
    <n v="3000"/>
    <n v="3600"/>
    <n v="-600"/>
    <n v="1.2"/>
    <n v="-12"/>
  </r>
  <r>
    <x v="4"/>
    <x v="15"/>
    <s v="Crystal"/>
    <n v="120"/>
    <n v="30"/>
    <n v="30"/>
    <n v="30"/>
    <n v="30"/>
    <n v="30"/>
    <n v="30"/>
    <n v="30"/>
    <n v="30"/>
    <n v="30"/>
    <n v="30"/>
    <n v="30"/>
    <n v="30"/>
    <n v="3600"/>
    <n v="3600"/>
    <n v="3600"/>
    <n v="3600"/>
    <n v="3600"/>
    <n v="3600"/>
    <n v="3600"/>
    <n v="3600"/>
    <n v="3600"/>
    <n v="3600"/>
    <n v="3600"/>
    <n v="3600"/>
    <n v="180"/>
    <n v="180"/>
    <n v="21600"/>
    <n v="21600"/>
    <n v="0"/>
    <n v="1"/>
    <n v="0"/>
  </r>
  <r>
    <x v="4"/>
    <x v="16"/>
    <s v="Sondra"/>
    <n v="45"/>
    <n v="160"/>
    <n v="160"/>
    <n v="160"/>
    <n v="160"/>
    <n v="160"/>
    <n v="160"/>
    <n v="160"/>
    <n v="160"/>
    <n v="160"/>
    <n v="160"/>
    <n v="160"/>
    <n v="160"/>
    <n v="7200"/>
    <n v="7200"/>
    <n v="7200"/>
    <n v="7200"/>
    <n v="7200"/>
    <n v="7200"/>
    <n v="7200"/>
    <n v="7200"/>
    <n v="7200"/>
    <n v="7200"/>
    <n v="7200"/>
    <n v="7200"/>
    <n v="960"/>
    <n v="960"/>
    <n v="43200"/>
    <n v="43200"/>
    <n v="0"/>
    <n v="1"/>
    <n v="0"/>
  </r>
  <r>
    <x v="4"/>
    <x v="16"/>
    <s v="Larry"/>
    <n v="88"/>
    <n v="160"/>
    <n v="160"/>
    <n v="160"/>
    <n v="160"/>
    <n v="160"/>
    <n v="160"/>
    <n v="80"/>
    <n v="80"/>
    <n v="80"/>
    <n v="80"/>
    <n v="80"/>
    <n v="80"/>
    <n v="14080"/>
    <n v="14080"/>
    <n v="14080"/>
    <n v="14080"/>
    <n v="14080"/>
    <n v="14080"/>
    <n v="7040"/>
    <n v="7040"/>
    <n v="7040"/>
    <n v="7040"/>
    <n v="7040"/>
    <n v="7040"/>
    <n v="960"/>
    <n v="480"/>
    <n v="84480"/>
    <n v="42240"/>
    <n v="42240"/>
    <n v="0.5"/>
    <n v="480"/>
  </r>
  <r>
    <x v="4"/>
    <x v="16"/>
    <s v="Stanley"/>
    <n v="50"/>
    <n v="10"/>
    <n v="10"/>
    <n v="10"/>
    <n v="10"/>
    <n v="10"/>
    <n v="10"/>
    <n v="12"/>
    <n v="12"/>
    <n v="12"/>
    <n v="12"/>
    <n v="12"/>
    <n v="12"/>
    <n v="500"/>
    <n v="500"/>
    <n v="500"/>
    <n v="500"/>
    <n v="500"/>
    <n v="500"/>
    <n v="600"/>
    <n v="600"/>
    <n v="600"/>
    <n v="600"/>
    <n v="600"/>
    <n v="600"/>
    <n v="60"/>
    <n v="72"/>
    <n v="3000"/>
    <n v="3600"/>
    <n v="-600"/>
    <n v="1.2"/>
    <n v="-12"/>
  </r>
  <r>
    <x v="4"/>
    <x v="16"/>
    <s v="George"/>
    <n v="60"/>
    <n v="20"/>
    <n v="20"/>
    <n v="20"/>
    <n v="20"/>
    <n v="20"/>
    <n v="20"/>
    <n v="25"/>
    <n v="25"/>
    <n v="25"/>
    <n v="25"/>
    <n v="25"/>
    <n v="25"/>
    <n v="1200"/>
    <n v="1200"/>
    <n v="1200"/>
    <n v="1200"/>
    <n v="1200"/>
    <n v="1200"/>
    <n v="1500"/>
    <n v="1500"/>
    <n v="1500"/>
    <n v="1500"/>
    <n v="1500"/>
    <n v="1500"/>
    <n v="120"/>
    <n v="150"/>
    <n v="7200"/>
    <n v="9000"/>
    <n v="-1800"/>
    <n v="1.25"/>
    <n v="-3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360"/>
    <n v="386"/>
    <n v="25600"/>
    <n v="27700"/>
    <n v="-2100"/>
  </r>
  <r>
    <x v="1"/>
    <x v="0"/>
    <n v="225"/>
    <n v="268"/>
    <n v="21850"/>
    <n v="26100"/>
    <n v="-4250"/>
  </r>
  <r>
    <x v="2"/>
    <x v="0"/>
    <n v="460"/>
    <n v="538"/>
    <n v="36000"/>
    <n v="44050"/>
    <n v="-8050"/>
  </r>
  <r>
    <x v="3"/>
    <x v="0"/>
    <n v="550"/>
    <n v="526"/>
    <n v="48500"/>
    <n v="45250"/>
    <n v="3250"/>
  </r>
  <r>
    <x v="4"/>
    <x v="0"/>
    <n v="430"/>
    <n v="369"/>
    <n v="29080"/>
    <n v="23040"/>
    <n v="6040"/>
  </r>
  <r>
    <x v="0"/>
    <x v="1"/>
    <n v="360"/>
    <n v="386"/>
    <n v="25600"/>
    <n v="27700"/>
    <n v="-2100"/>
  </r>
  <r>
    <x v="1"/>
    <x v="1"/>
    <n v="225"/>
    <n v="268"/>
    <n v="21850"/>
    <n v="26100"/>
    <n v="-4250"/>
  </r>
  <r>
    <x v="2"/>
    <x v="1"/>
    <n v="460"/>
    <n v="538"/>
    <n v="36000"/>
    <n v="44050"/>
    <n v="-8050"/>
  </r>
  <r>
    <x v="3"/>
    <x v="1"/>
    <n v="550"/>
    <n v="526"/>
    <n v="48500"/>
    <n v="45250"/>
    <n v="3250"/>
  </r>
  <r>
    <x v="4"/>
    <x v="1"/>
    <n v="430"/>
    <n v="369"/>
    <n v="29080"/>
    <n v="23040"/>
    <n v="6040"/>
  </r>
  <r>
    <x v="0"/>
    <x v="2"/>
    <n v="360"/>
    <n v="386"/>
    <n v="25600"/>
    <n v="27700"/>
    <n v="-2100"/>
  </r>
  <r>
    <x v="1"/>
    <x v="2"/>
    <n v="225"/>
    <n v="268"/>
    <n v="21850"/>
    <n v="26100"/>
    <n v="-4250"/>
  </r>
  <r>
    <x v="2"/>
    <x v="2"/>
    <n v="460"/>
    <n v="538"/>
    <n v="36000"/>
    <n v="44050"/>
    <n v="-8050"/>
  </r>
  <r>
    <x v="3"/>
    <x v="2"/>
    <n v="550"/>
    <n v="526"/>
    <n v="48500"/>
    <n v="45250"/>
    <n v="3250"/>
  </r>
  <r>
    <x v="4"/>
    <x v="2"/>
    <n v="430"/>
    <n v="369"/>
    <n v="29080"/>
    <n v="23040"/>
    <n v="6040"/>
  </r>
  <r>
    <x v="0"/>
    <x v="3"/>
    <n v="360"/>
    <n v="386"/>
    <n v="25600"/>
    <n v="28350"/>
    <n v="-2750"/>
  </r>
  <r>
    <x v="1"/>
    <x v="3"/>
    <n v="225"/>
    <n v="268"/>
    <n v="21850"/>
    <n v="19100"/>
    <n v="2750"/>
  </r>
  <r>
    <x v="2"/>
    <x v="3"/>
    <n v="460"/>
    <n v="538"/>
    <n v="36000"/>
    <n v="37050"/>
    <n v="-1050"/>
  </r>
  <r>
    <x v="3"/>
    <x v="3"/>
    <n v="550"/>
    <n v="526"/>
    <n v="48500"/>
    <n v="45250"/>
    <n v="3250"/>
  </r>
  <r>
    <x v="4"/>
    <x v="3"/>
    <n v="430"/>
    <n v="369"/>
    <n v="29080"/>
    <n v="23040"/>
    <n v="6040"/>
  </r>
  <r>
    <x v="0"/>
    <x v="4"/>
    <n v="360"/>
    <n v="386"/>
    <n v="25600"/>
    <n v="28350"/>
    <n v="-2750"/>
  </r>
  <r>
    <x v="1"/>
    <x v="4"/>
    <n v="225"/>
    <n v="268"/>
    <n v="21850"/>
    <n v="19100"/>
    <n v="2750"/>
  </r>
  <r>
    <x v="2"/>
    <x v="4"/>
    <n v="460"/>
    <n v="538"/>
    <n v="36000"/>
    <n v="37050"/>
    <n v="-1050"/>
  </r>
  <r>
    <x v="3"/>
    <x v="4"/>
    <n v="550"/>
    <n v="526"/>
    <n v="48500"/>
    <n v="45250"/>
    <n v="3250"/>
  </r>
  <r>
    <x v="4"/>
    <x v="4"/>
    <n v="430"/>
    <n v="369"/>
    <n v="29080"/>
    <n v="23040"/>
    <n v="6040"/>
  </r>
  <r>
    <x v="0"/>
    <x v="5"/>
    <n v="360"/>
    <n v="386"/>
    <n v="25600"/>
    <n v="28350"/>
    <n v="-2750"/>
  </r>
  <r>
    <x v="1"/>
    <x v="5"/>
    <n v="225"/>
    <n v="268"/>
    <n v="21850"/>
    <n v="19100"/>
    <n v="2750"/>
  </r>
  <r>
    <x v="2"/>
    <x v="5"/>
    <n v="460"/>
    <n v="538"/>
    <n v="36000"/>
    <n v="37050"/>
    <n v="-1050"/>
  </r>
  <r>
    <x v="3"/>
    <x v="5"/>
    <n v="550"/>
    <n v="526"/>
    <n v="48500"/>
    <n v="45250"/>
    <n v="3250"/>
  </r>
  <r>
    <x v="4"/>
    <x v="5"/>
    <n v="430"/>
    <n v="369"/>
    <n v="29080"/>
    <n v="23040"/>
    <n v="60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4EBB0A-3493-4AB0-97B5-D3B68877CDC0}"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20:G35" firstHeaderRow="1" firstDataRow="2" firstDataCol="1"/>
  <pivotFields count="36">
    <pivotField axis="axisCol" showAll="0">
      <items count="6">
        <item x="0"/>
        <item x="1"/>
        <item x="2"/>
        <item x="3"/>
        <item x="4"/>
        <item t="default"/>
      </items>
    </pivotField>
    <pivotField showAll="0">
      <items count="18">
        <item x="0"/>
        <item x="1"/>
        <item x="2"/>
        <item x="3"/>
        <item x="4"/>
        <item x="5"/>
        <item x="6"/>
        <item x="7"/>
        <item x="8"/>
        <item x="9"/>
        <item x="10"/>
        <item x="11"/>
        <item x="12"/>
        <item x="13"/>
        <item x="14"/>
        <item x="15"/>
        <item x="16"/>
        <item t="default"/>
      </items>
    </pivotField>
    <pivotField axis="axisRow" showAll="0" sortType="descending">
      <items count="14">
        <item x="9"/>
        <item x="6"/>
        <item x="0"/>
        <item x="7"/>
        <item x="8"/>
        <item x="2"/>
        <item x="4"/>
        <item x="12"/>
        <item x="3"/>
        <item x="10"/>
        <item x="11"/>
        <item x="5"/>
        <item x="1"/>
        <item t="default"/>
      </items>
      <autoSortScope>
        <pivotArea dataOnly="0" outline="0" fieldPosition="0">
          <references count="1">
            <reference field="4294967294" count="1" selected="0">
              <x v="0"/>
            </reference>
          </references>
        </pivotArea>
      </autoSortScope>
    </pivotField>
    <pivotField numFmtId="164" showAll="0">
      <items count="12">
        <item x="1"/>
        <item x="9"/>
        <item x="0"/>
        <item x="6"/>
        <item x="2"/>
        <item x="10"/>
        <item x="4"/>
        <item x="7"/>
        <item x="3"/>
        <item x="8"/>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 numFmtId="1" showAll="0"/>
    <pivotField numFmtId="1" showAll="0"/>
    <pivotField dataField="1" numFmtId="1" showAll="0">
      <items count="24">
        <item x="10"/>
        <item x="5"/>
        <item x="7"/>
        <item x="6"/>
        <item x="8"/>
        <item x="0"/>
        <item x="13"/>
        <item x="3"/>
        <item x="20"/>
        <item x="14"/>
        <item x="1"/>
        <item x="2"/>
        <item x="18"/>
        <item x="9"/>
        <item x="11"/>
        <item x="12"/>
        <item x="15"/>
        <item x="19"/>
        <item x="22"/>
        <item x="21"/>
        <item x="17"/>
        <item x="16"/>
        <item x="4"/>
        <item t="default"/>
      </items>
    </pivotField>
    <pivotField numFmtId="1"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14">
    <i>
      <x v="8"/>
    </i>
    <i>
      <x v="1"/>
    </i>
    <i>
      <x/>
    </i>
    <i>
      <x v="6"/>
    </i>
    <i>
      <x v="5"/>
    </i>
    <i>
      <x v="9"/>
    </i>
    <i>
      <x v="3"/>
    </i>
    <i>
      <x v="4"/>
    </i>
    <i>
      <x v="2"/>
    </i>
    <i>
      <x v="11"/>
    </i>
    <i>
      <x v="10"/>
    </i>
    <i>
      <x v="7"/>
    </i>
    <i>
      <x v="12"/>
    </i>
    <i t="grand">
      <x/>
    </i>
  </rowItems>
  <colFields count="1">
    <field x="0"/>
  </colFields>
  <colItems count="6">
    <i>
      <x/>
    </i>
    <i>
      <x v="1"/>
    </i>
    <i>
      <x v="2"/>
    </i>
    <i>
      <x v="3"/>
    </i>
    <i>
      <x v="4"/>
    </i>
    <i t="grand">
      <x/>
    </i>
  </colItems>
  <dataFields count="1">
    <dataField name="Sum of Total Actual Cost" fld="31" baseField="2" baseItem="0"/>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4"/>
          </reference>
        </references>
      </pivotArea>
    </chartFormat>
    <chartFormat chart="3" format="10" series="1">
      <pivotArea type="data" outline="0" fieldPosition="0">
        <references count="2">
          <reference field="4294967294" count="1" selected="0">
            <x v="0"/>
          </reference>
          <reference field="0" count="1" selected="0">
            <x v="0"/>
          </reference>
        </references>
      </pivotArea>
    </chartFormat>
    <chartFormat chart="3" format="11" series="1">
      <pivotArea type="data" outline="0" fieldPosition="0">
        <references count="2">
          <reference field="4294967294" count="1" selected="0">
            <x v="0"/>
          </reference>
          <reference field="0" count="1" selected="0">
            <x v="1"/>
          </reference>
        </references>
      </pivotArea>
    </chartFormat>
    <chartFormat chart="3" format="12" series="1">
      <pivotArea type="data" outline="0" fieldPosition="0">
        <references count="2">
          <reference field="4294967294" count="1" selected="0">
            <x v="0"/>
          </reference>
          <reference field="0" count="1" selected="0">
            <x v="2"/>
          </reference>
        </references>
      </pivotArea>
    </chartFormat>
    <chartFormat chart="3" format="13" series="1">
      <pivotArea type="data" outline="0" fieldPosition="0">
        <references count="2">
          <reference field="4294967294" count="1" selected="0">
            <x v="0"/>
          </reference>
          <reference field="0" count="1" selected="0">
            <x v="3"/>
          </reference>
        </references>
      </pivotArea>
    </chartFormat>
    <chartFormat chart="3" format="14" series="1">
      <pivotArea type="data" outline="0" fieldPosition="0">
        <references count="2">
          <reference field="4294967294" count="1" selected="0">
            <x v="0"/>
          </reference>
          <reference field="0" count="1" selected="0">
            <x v="4"/>
          </reference>
        </references>
      </pivotArea>
    </chartFormat>
    <chartFormat chart="3" format="15"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00C25B-5B6C-48C1-AEA6-CDE95DCEE4EE}"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2:D8" firstHeaderRow="0" firstDataRow="1" firstDataCol="1"/>
  <pivotFields count="36">
    <pivotField axis="axisRow" showAll="0">
      <items count="6">
        <item x="0"/>
        <item x="1"/>
        <item x="2"/>
        <item x="3"/>
        <item x="4"/>
        <item t="default"/>
      </items>
    </pivotField>
    <pivotField showAll="0">
      <items count="18">
        <item x="0"/>
        <item x="1"/>
        <item x="2"/>
        <item x="3"/>
        <item x="4"/>
        <item x="5"/>
        <item x="6"/>
        <item x="7"/>
        <item x="8"/>
        <item x="9"/>
        <item x="10"/>
        <item x="11"/>
        <item x="12"/>
        <item x="13"/>
        <item x="14"/>
        <item x="15"/>
        <item x="16"/>
        <item t="default"/>
      </items>
    </pivotField>
    <pivotField showAll="0">
      <items count="14">
        <item x="9"/>
        <item x="6"/>
        <item x="0"/>
        <item x="7"/>
        <item x="8"/>
        <item x="2"/>
        <item x="4"/>
        <item x="12"/>
        <item x="3"/>
        <item x="10"/>
        <item x="11"/>
        <item x="5"/>
        <item x="1"/>
        <item t="default"/>
      </items>
    </pivotField>
    <pivotField numFmtId="164" showAll="0">
      <items count="12">
        <item x="1"/>
        <item x="9"/>
        <item x="0"/>
        <item x="6"/>
        <item x="2"/>
        <item x="10"/>
        <item x="4"/>
        <item x="7"/>
        <item x="3"/>
        <item x="8"/>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 numFmtId="1" showAll="0"/>
    <pivotField dataField="1" numFmtId="1" showAll="0">
      <items count="20">
        <item x="6"/>
        <item x="5"/>
        <item x="0"/>
        <item x="9"/>
        <item x="12"/>
        <item x="13"/>
        <item x="16"/>
        <item x="3"/>
        <item x="1"/>
        <item x="2"/>
        <item x="15"/>
        <item x="7"/>
        <item x="8"/>
        <item x="10"/>
        <item x="17"/>
        <item x="11"/>
        <item x="4"/>
        <item x="18"/>
        <item x="14"/>
        <item t="default"/>
      </items>
    </pivotField>
    <pivotField dataField="1" numFmtId="1" showAll="0"/>
    <pivotField dataField="1" numFmtId="1"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6">
    <i>
      <x/>
    </i>
    <i>
      <x v="1"/>
    </i>
    <i>
      <x v="2"/>
    </i>
    <i>
      <x v="3"/>
    </i>
    <i>
      <x v="4"/>
    </i>
    <i t="grand">
      <x/>
    </i>
  </rowItems>
  <colFields count="1">
    <field x="-2"/>
  </colFields>
  <colItems count="3">
    <i>
      <x/>
    </i>
    <i i="1">
      <x v="1"/>
    </i>
    <i i="2">
      <x v="2"/>
    </i>
  </colItems>
  <dataFields count="3">
    <dataField name="Total Budget Costs" fld="30" baseField="0" baseItem="0"/>
    <dataField name="Total Actual Costs" fld="31" baseField="0" baseItem="0"/>
    <dataField name="Sum of Cost Variance" fld="3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CC41DD-CD83-4E87-BE8F-EB4C45F3ED2C}"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rowHeaderCaption="">
  <location ref="A42:C56" firstHeaderRow="0" firstDataRow="1" firstDataCol="1"/>
  <pivotFields count="36">
    <pivotField showAll="0"/>
    <pivotField showAll="0">
      <items count="18">
        <item x="0"/>
        <item x="1"/>
        <item x="2"/>
        <item x="3"/>
        <item x="4"/>
        <item x="5"/>
        <item x="6"/>
        <item x="7"/>
        <item x="8"/>
        <item x="9"/>
        <item x="10"/>
        <item x="11"/>
        <item x="12"/>
        <item x="13"/>
        <item x="14"/>
        <item x="15"/>
        <item x="16"/>
        <item t="default"/>
      </items>
    </pivotField>
    <pivotField axis="axisRow" showAll="0" sortType="ascending">
      <items count="14">
        <item x="9"/>
        <item x="6"/>
        <item x="0"/>
        <item x="7"/>
        <item x="8"/>
        <item x="2"/>
        <item x="4"/>
        <item x="12"/>
        <item x="3"/>
        <item x="10"/>
        <item x="11"/>
        <item x="5"/>
        <item x="1"/>
        <item t="default"/>
      </items>
      <autoSortScope>
        <pivotArea dataOnly="0" outline="0" fieldPosition="0">
          <references count="1">
            <reference field="4294967294" count="1" selected="0">
              <x v="0"/>
            </reference>
          </references>
        </pivotArea>
      </autoSortScope>
    </pivotField>
    <pivotField numFmtId="164" showAll="0">
      <items count="12">
        <item x="1"/>
        <item x="9"/>
        <item x="0"/>
        <item x="6"/>
        <item x="2"/>
        <item x="10"/>
        <item x="4"/>
        <item x="7"/>
        <item x="3"/>
        <item x="8"/>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 showAll="0"/>
    <pivotField dataField="1" numFmtId="1" showAll="0">
      <items count="19">
        <item x="9"/>
        <item x="5"/>
        <item x="6"/>
        <item x="15"/>
        <item x="3"/>
        <item x="7"/>
        <item x="11"/>
        <item x="0"/>
        <item x="14"/>
        <item x="10"/>
        <item x="2"/>
        <item x="8"/>
        <item x="12"/>
        <item x="1"/>
        <item x="17"/>
        <item x="16"/>
        <item x="13"/>
        <item x="4"/>
        <item t="default"/>
      </items>
    </pivotField>
    <pivotField numFmtId="1" showAll="0"/>
    <pivotField numFmtId="1" showAll="0"/>
    <pivotField numFmtId="1"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14">
    <i>
      <x v="11"/>
    </i>
    <i>
      <x v="2"/>
    </i>
    <i>
      <x v="3"/>
    </i>
    <i>
      <x/>
    </i>
    <i>
      <x v="1"/>
    </i>
    <i>
      <x v="8"/>
    </i>
    <i>
      <x v="5"/>
    </i>
    <i>
      <x v="6"/>
    </i>
    <i>
      <x v="12"/>
    </i>
    <i>
      <x v="9"/>
    </i>
    <i>
      <x v="10"/>
    </i>
    <i>
      <x v="7"/>
    </i>
    <i>
      <x v="4"/>
    </i>
    <i t="grand">
      <x/>
    </i>
  </rowItems>
  <colFields count="1">
    <field x="-2"/>
  </colFields>
  <colItems count="2">
    <i>
      <x/>
    </i>
    <i i="1">
      <x v="1"/>
    </i>
  </colItems>
  <dataFields count="2">
    <dataField name="Avg of Total Budgeted Hours" fld="28" subtotal="average" baseField="2" baseItem="0"/>
    <dataField name="Avg of Total Actual Hours" fld="29" subtotal="average" baseField="2" baseItem="0"/>
  </dataFields>
  <formats count="4">
    <format dxfId="5">
      <pivotArea field="2" grandRow="1" outline="0" collapsedLevelsAreSubtotals="1" axis="axisRow" fieldPosition="0">
        <references count="1">
          <reference field="4294967294" count="1" selected="0">
            <x v="1"/>
          </reference>
        </references>
      </pivotArea>
    </format>
    <format dxfId="4">
      <pivotArea collapsedLevelsAreSubtotals="1" fieldPosition="0">
        <references count="2">
          <reference field="4294967294" count="1" selected="0">
            <x v="1"/>
          </reference>
          <reference field="2" count="1">
            <x v="2"/>
          </reference>
        </references>
      </pivotArea>
    </format>
    <format dxfId="3">
      <pivotArea collapsedLevelsAreSubtotals="1" fieldPosition="0">
        <references count="2">
          <reference field="4294967294" count="1" selected="0">
            <x v="0"/>
          </reference>
          <reference field="2" count="1">
            <x v="2"/>
          </reference>
        </references>
      </pivotArea>
    </format>
    <format dxfId="2">
      <pivotArea field="2" grandRow="1" outline="0" collapsedLevelsAreSubtotals="1" axis="axisRow" fieldPosition="0">
        <references count="1">
          <reference field="4294967294" count="1" selected="0">
            <x v="0"/>
          </reference>
        </references>
      </pivotArea>
    </format>
  </format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A07AE4-DD32-4169-B36B-36005670AAA7}" name="PivotTable1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8:B44" firstHeaderRow="1" firstDataRow="1" firstDataCol="1"/>
  <pivotFields count="38">
    <pivotField axis="axisRow" showAll="0">
      <items count="6">
        <item x="0"/>
        <item x="1"/>
        <item x="2"/>
        <item x="3"/>
        <item x="4"/>
        <item t="default"/>
      </items>
    </pivotField>
    <pivotField showAll="0">
      <items count="18">
        <item x="0"/>
        <item x="1"/>
        <item x="2"/>
        <item x="3"/>
        <item x="4"/>
        <item x="5"/>
        <item x="6"/>
        <item x="7"/>
        <item x="8"/>
        <item x="9"/>
        <item x="10"/>
        <item x="11"/>
        <item x="12"/>
        <item x="13"/>
        <item x="14"/>
        <item x="15"/>
        <item x="16"/>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 numFmtId="1" showAll="0"/>
    <pivotField numFmtId="1" showAll="0"/>
    <pivotField numFmtId="1" showAll="0"/>
    <pivotField numFmtId="1" showAll="0"/>
    <pivotField showAll="0"/>
    <pivotField dataField="1" numFmtId="1"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6">
    <i>
      <x/>
    </i>
    <i>
      <x v="1"/>
    </i>
    <i>
      <x v="2"/>
    </i>
    <i>
      <x v="3"/>
    </i>
    <i>
      <x v="4"/>
    </i>
    <i t="grand">
      <x/>
    </i>
  </rowItems>
  <colItems count="1">
    <i/>
  </colItems>
  <dataFields count="1">
    <dataField name="Avg of Time accuracy" fld="34" subtotal="average" baseField="0" baseItem="0" numFmtId="1"/>
  </dataFields>
  <formats count="2">
    <format dxfId="1">
      <pivotArea collapsedLevelsAreSubtotals="1" fieldPosition="0">
        <references count="1">
          <reference field="0" count="1">
            <x v="0"/>
          </reference>
        </references>
      </pivotArea>
    </format>
    <format dxfId="0">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240532-3899-4003-9FE0-DE4CC33BAACF}"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22:O29" firstHeaderRow="1" firstDataRow="2" firstDataCol="1"/>
  <pivotFields count="36">
    <pivotField axis="axisRow" showAll="0">
      <items count="6">
        <item x="0"/>
        <item x="1"/>
        <item x="2"/>
        <item x="3"/>
        <item x="4"/>
        <item t="default"/>
      </items>
    </pivotField>
    <pivotField showAll="0">
      <items count="18">
        <item x="0"/>
        <item x="1"/>
        <item x="2"/>
        <item x="3"/>
        <item x="4"/>
        <item x="5"/>
        <item x="6"/>
        <item x="7"/>
        <item x="8"/>
        <item x="9"/>
        <item x="10"/>
        <item x="11"/>
        <item x="12"/>
        <item x="13"/>
        <item x="14"/>
        <item x="15"/>
        <item x="16"/>
        <item t="default"/>
      </items>
    </pivotField>
    <pivotField axis="axisCol" showAll="0">
      <items count="14">
        <item x="9"/>
        <item x="6"/>
        <item x="0"/>
        <item x="7"/>
        <item x="8"/>
        <item x="2"/>
        <item x="4"/>
        <item x="12"/>
        <item x="3"/>
        <item x="10"/>
        <item x="11"/>
        <item x="5"/>
        <item x="1"/>
        <item t="default"/>
      </items>
    </pivotField>
    <pivotField numFmtId="164" showAll="0">
      <items count="12">
        <item x="1"/>
        <item x="9"/>
        <item x="0"/>
        <item x="6"/>
        <item x="2"/>
        <item x="10"/>
        <item x="4"/>
        <item x="7"/>
        <item x="3"/>
        <item x="8"/>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 dataField="1" numFmtId="1" showAll="0"/>
    <pivotField numFmtId="1" showAll="0"/>
    <pivotField numFmtId="1" showAll="0"/>
    <pivotField numFmtId="1"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6">
    <i>
      <x/>
    </i>
    <i>
      <x v="1"/>
    </i>
    <i>
      <x v="2"/>
    </i>
    <i>
      <x v="3"/>
    </i>
    <i>
      <x v="4"/>
    </i>
    <i t="grand">
      <x/>
    </i>
  </rowItems>
  <colFields count="1">
    <field x="2"/>
  </colFields>
  <colItems count="14">
    <i>
      <x/>
    </i>
    <i>
      <x v="1"/>
    </i>
    <i>
      <x v="2"/>
    </i>
    <i>
      <x v="3"/>
    </i>
    <i>
      <x v="4"/>
    </i>
    <i>
      <x v="5"/>
    </i>
    <i>
      <x v="6"/>
    </i>
    <i>
      <x v="7"/>
    </i>
    <i>
      <x v="8"/>
    </i>
    <i>
      <x v="9"/>
    </i>
    <i>
      <x v="10"/>
    </i>
    <i>
      <x v="11"/>
    </i>
    <i>
      <x v="12"/>
    </i>
    <i t="grand">
      <x/>
    </i>
  </colItems>
  <dataFields count="1">
    <dataField name="Sum of Total Actual Hours" fld="29" baseField="0" baseItem="0"/>
  </dataFields>
  <chartFormats count="2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2" format="26" series="1">
      <pivotArea type="data" outline="0" fieldPosition="0">
        <references count="2">
          <reference field="4294967294" count="1" selected="0">
            <x v="0"/>
          </reference>
          <reference field="2" count="1" selected="0">
            <x v="0"/>
          </reference>
        </references>
      </pivotArea>
    </chartFormat>
    <chartFormat chart="2" format="27" series="1">
      <pivotArea type="data" outline="0" fieldPosition="0">
        <references count="2">
          <reference field="4294967294" count="1" selected="0">
            <x v="0"/>
          </reference>
          <reference field="2" count="1" selected="0">
            <x v="1"/>
          </reference>
        </references>
      </pivotArea>
    </chartFormat>
    <chartFormat chart="2" format="28" series="1">
      <pivotArea type="data" outline="0" fieldPosition="0">
        <references count="2">
          <reference field="4294967294" count="1" selected="0">
            <x v="0"/>
          </reference>
          <reference field="2" count="1" selected="0">
            <x v="2"/>
          </reference>
        </references>
      </pivotArea>
    </chartFormat>
    <chartFormat chart="2" format="29" series="1">
      <pivotArea type="data" outline="0" fieldPosition="0">
        <references count="2">
          <reference field="4294967294" count="1" selected="0">
            <x v="0"/>
          </reference>
          <reference field="2" count="1" selected="0">
            <x v="3"/>
          </reference>
        </references>
      </pivotArea>
    </chartFormat>
    <chartFormat chart="2" format="30" series="1">
      <pivotArea type="data" outline="0" fieldPosition="0">
        <references count="2">
          <reference field="4294967294" count="1" selected="0">
            <x v="0"/>
          </reference>
          <reference field="2" count="1" selected="0">
            <x v="4"/>
          </reference>
        </references>
      </pivotArea>
    </chartFormat>
    <chartFormat chart="2" format="31" series="1">
      <pivotArea type="data" outline="0" fieldPosition="0">
        <references count="2">
          <reference field="4294967294" count="1" selected="0">
            <x v="0"/>
          </reference>
          <reference field="2" count="1" selected="0">
            <x v="5"/>
          </reference>
        </references>
      </pivotArea>
    </chartFormat>
    <chartFormat chart="2" format="32" series="1">
      <pivotArea type="data" outline="0" fieldPosition="0">
        <references count="2">
          <reference field="4294967294" count="1" selected="0">
            <x v="0"/>
          </reference>
          <reference field="2" count="1" selected="0">
            <x v="6"/>
          </reference>
        </references>
      </pivotArea>
    </chartFormat>
    <chartFormat chart="2" format="33" series="1">
      <pivotArea type="data" outline="0" fieldPosition="0">
        <references count="2">
          <reference field="4294967294" count="1" selected="0">
            <x v="0"/>
          </reference>
          <reference field="2" count="1" selected="0">
            <x v="7"/>
          </reference>
        </references>
      </pivotArea>
    </chartFormat>
    <chartFormat chart="2" format="34" series="1">
      <pivotArea type="data" outline="0" fieldPosition="0">
        <references count="2">
          <reference field="4294967294" count="1" selected="0">
            <x v="0"/>
          </reference>
          <reference field="2" count="1" selected="0">
            <x v="8"/>
          </reference>
        </references>
      </pivotArea>
    </chartFormat>
    <chartFormat chart="2" format="35" series="1">
      <pivotArea type="data" outline="0" fieldPosition="0">
        <references count="2">
          <reference field="4294967294" count="1" selected="0">
            <x v="0"/>
          </reference>
          <reference field="2" count="1" selected="0">
            <x v="9"/>
          </reference>
        </references>
      </pivotArea>
    </chartFormat>
    <chartFormat chart="2" format="36" series="1">
      <pivotArea type="data" outline="0" fieldPosition="0">
        <references count="2">
          <reference field="4294967294" count="1" selected="0">
            <x v="0"/>
          </reference>
          <reference field="2" count="1" selected="0">
            <x v="10"/>
          </reference>
        </references>
      </pivotArea>
    </chartFormat>
    <chartFormat chart="2" format="37" series="1">
      <pivotArea type="data" outline="0" fieldPosition="0">
        <references count="2">
          <reference field="4294967294" count="1" selected="0">
            <x v="0"/>
          </reference>
          <reference field="2" count="1" selected="0">
            <x v="11"/>
          </reference>
        </references>
      </pivotArea>
    </chartFormat>
    <chartFormat chart="2" format="38" series="1">
      <pivotArea type="data" outline="0" fieldPosition="0">
        <references count="2">
          <reference field="4294967294" count="1" selected="0">
            <x v="0"/>
          </reference>
          <reference field="2" count="1" selected="0">
            <x v="12"/>
          </reference>
        </references>
      </pivotArea>
    </chartFormat>
    <chartFormat chart="2" format="39"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D59DDD-7C79-498F-B60F-EDF210929E0E}"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C9" firstHeaderRow="0" firstDataRow="1" firstDataCol="1"/>
  <pivotFields count="36">
    <pivotField axis="axisRow" showAll="0">
      <items count="6">
        <item x="0"/>
        <item x="1"/>
        <item x="2"/>
        <item x="3"/>
        <item x="4"/>
        <item t="default"/>
      </items>
    </pivotField>
    <pivotField showAll="0">
      <items count="18">
        <item x="0"/>
        <item x="1"/>
        <item x="2"/>
        <item x="3"/>
        <item x="4"/>
        <item x="5"/>
        <item x="6"/>
        <item x="7"/>
        <item x="8"/>
        <item x="9"/>
        <item x="10"/>
        <item x="11"/>
        <item x="12"/>
        <item x="13"/>
        <item x="14"/>
        <item x="15"/>
        <item x="16"/>
        <item t="default"/>
      </items>
    </pivotField>
    <pivotField showAll="0">
      <items count="14">
        <item x="9"/>
        <item x="6"/>
        <item x="0"/>
        <item x="7"/>
        <item x="8"/>
        <item x="2"/>
        <item x="4"/>
        <item x="12"/>
        <item x="3"/>
        <item x="10"/>
        <item x="11"/>
        <item x="5"/>
        <item x="1"/>
        <item t="default"/>
      </items>
    </pivotField>
    <pivotField numFmtId="164" showAll="0">
      <items count="12">
        <item x="1"/>
        <item x="9"/>
        <item x="0"/>
        <item x="6"/>
        <item x="2"/>
        <item x="10"/>
        <item x="4"/>
        <item x="7"/>
        <item x="3"/>
        <item x="8"/>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 showAll="0"/>
    <pivotField dataField="1" numFmtId="1" showAll="0"/>
    <pivotField numFmtId="1" showAll="0"/>
    <pivotField numFmtId="1" showAll="0"/>
    <pivotField numFmtId="1"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6">
    <i>
      <x/>
    </i>
    <i>
      <x v="1"/>
    </i>
    <i>
      <x v="2"/>
    </i>
    <i>
      <x v="3"/>
    </i>
    <i>
      <x v="4"/>
    </i>
    <i t="grand">
      <x/>
    </i>
  </rowItems>
  <colFields count="1">
    <field x="-2"/>
  </colFields>
  <colItems count="2">
    <i>
      <x/>
    </i>
    <i i="1">
      <x v="1"/>
    </i>
  </colItems>
  <dataFields count="2">
    <dataField name="Sum of Budgeted Hours" fld="28" baseField="0" baseItem="0"/>
    <dataField name="Sum ofActual Hours" fld="2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90AEF7-9BD8-4A80-A16A-D3353ECEB748}" name="PivotTable2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2">
  <location ref="A54:H61" firstHeaderRow="1" firstDataRow="2" firstDataCol="1"/>
  <pivotFields count="7">
    <pivotField axis="axisRow" showAll="0">
      <items count="6">
        <item x="0"/>
        <item x="1"/>
        <item x="2"/>
        <item x="3"/>
        <item x="4"/>
        <item t="default"/>
      </items>
    </pivotField>
    <pivotField axis="axisCol" showAll="0">
      <items count="7">
        <item x="0"/>
        <item x="1"/>
        <item x="2"/>
        <item x="3"/>
        <item x="4"/>
        <item x="5"/>
        <item t="default"/>
      </items>
    </pivotField>
    <pivotField showAll="0"/>
    <pivotField showAll="0"/>
    <pivotField showAll="0"/>
    <pivotField showAll="0"/>
    <pivotField dataField="1" showAll="0"/>
  </pivotFields>
  <rowFields count="1">
    <field x="0"/>
  </rowFields>
  <rowItems count="6">
    <i>
      <x/>
    </i>
    <i>
      <x v="1"/>
    </i>
    <i>
      <x v="2"/>
    </i>
    <i>
      <x v="3"/>
    </i>
    <i>
      <x v="4"/>
    </i>
    <i t="grand">
      <x/>
    </i>
  </rowItems>
  <colFields count="1">
    <field x="1"/>
  </colFields>
  <colItems count="7">
    <i>
      <x/>
    </i>
    <i>
      <x v="1"/>
    </i>
    <i>
      <x v="2"/>
    </i>
    <i>
      <x v="3"/>
    </i>
    <i>
      <x v="4"/>
    </i>
    <i>
      <x v="5"/>
    </i>
    <i t="grand">
      <x/>
    </i>
  </colItems>
  <dataFields count="1">
    <dataField name="Sum of Cost Variance" fld="6" baseField="0" baseItem="0"/>
  </dataFields>
  <chartFormats count="12">
    <chartFormat chart="29" format="0" series="1">
      <pivotArea type="data" outline="0" fieldPosition="0">
        <references count="2">
          <reference field="4294967294" count="1" selected="0">
            <x v="0"/>
          </reference>
          <reference field="1" count="1" selected="0">
            <x v="0"/>
          </reference>
        </references>
      </pivotArea>
    </chartFormat>
    <chartFormat chart="29" format="1" series="1">
      <pivotArea type="data" outline="0" fieldPosition="0">
        <references count="2">
          <reference field="4294967294" count="1" selected="0">
            <x v="0"/>
          </reference>
          <reference field="1" count="1" selected="0">
            <x v="1"/>
          </reference>
        </references>
      </pivotArea>
    </chartFormat>
    <chartFormat chart="29" format="2" series="1">
      <pivotArea type="data" outline="0" fieldPosition="0">
        <references count="2">
          <reference field="4294967294" count="1" selected="0">
            <x v="0"/>
          </reference>
          <reference field="1" count="1" selected="0">
            <x v="2"/>
          </reference>
        </references>
      </pivotArea>
    </chartFormat>
    <chartFormat chart="29" format="3" series="1">
      <pivotArea type="data" outline="0" fieldPosition="0">
        <references count="2">
          <reference field="4294967294" count="1" selected="0">
            <x v="0"/>
          </reference>
          <reference field="1" count="1" selected="0">
            <x v="3"/>
          </reference>
        </references>
      </pivotArea>
    </chartFormat>
    <chartFormat chart="29" format="4" series="1">
      <pivotArea type="data" outline="0" fieldPosition="0">
        <references count="2">
          <reference field="4294967294" count="1" selected="0">
            <x v="0"/>
          </reference>
          <reference field="1" count="1" selected="0">
            <x v="4"/>
          </reference>
        </references>
      </pivotArea>
    </chartFormat>
    <chartFormat chart="29" format="5" series="1">
      <pivotArea type="data" outline="0" fieldPosition="0">
        <references count="2">
          <reference field="4294967294" count="1" selected="0">
            <x v="0"/>
          </reference>
          <reference field="1" count="1" selected="0">
            <x v="5"/>
          </reference>
        </references>
      </pivotArea>
    </chartFormat>
    <chartFormat chart="31" format="12" series="1">
      <pivotArea type="data" outline="0" fieldPosition="0">
        <references count="2">
          <reference field="4294967294" count="1" selected="0">
            <x v="0"/>
          </reference>
          <reference field="1" count="1" selected="0">
            <x v="0"/>
          </reference>
        </references>
      </pivotArea>
    </chartFormat>
    <chartFormat chart="31" format="13" series="1">
      <pivotArea type="data" outline="0" fieldPosition="0">
        <references count="2">
          <reference field="4294967294" count="1" selected="0">
            <x v="0"/>
          </reference>
          <reference field="1" count="1" selected="0">
            <x v="1"/>
          </reference>
        </references>
      </pivotArea>
    </chartFormat>
    <chartFormat chart="31" format="14" series="1">
      <pivotArea type="data" outline="0" fieldPosition="0">
        <references count="2">
          <reference field="4294967294" count="1" selected="0">
            <x v="0"/>
          </reference>
          <reference field="1" count="1" selected="0">
            <x v="2"/>
          </reference>
        </references>
      </pivotArea>
    </chartFormat>
    <chartFormat chart="31" format="15" series="1">
      <pivotArea type="data" outline="0" fieldPosition="0">
        <references count="2">
          <reference field="4294967294" count="1" selected="0">
            <x v="0"/>
          </reference>
          <reference field="1" count="1" selected="0">
            <x v="3"/>
          </reference>
        </references>
      </pivotArea>
    </chartFormat>
    <chartFormat chart="31" format="16" series="1">
      <pivotArea type="data" outline="0" fieldPosition="0">
        <references count="2">
          <reference field="4294967294" count="1" selected="0">
            <x v="0"/>
          </reference>
          <reference field="1" count="1" selected="0">
            <x v="4"/>
          </reference>
        </references>
      </pivotArea>
    </chartFormat>
    <chartFormat chart="31"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E08449-1B56-44D7-A954-41BAC260C53E}" name="PivotTable2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3:H10" firstHeaderRow="1" firstDataRow="2" firstDataCol="1"/>
  <pivotFields count="7">
    <pivotField axis="axisRow" showAll="0">
      <items count="6">
        <item x="0"/>
        <item x="1"/>
        <item x="2"/>
        <item x="3"/>
        <item x="4"/>
        <item t="default"/>
      </items>
    </pivotField>
    <pivotField axis="axisCol" outline="0" showAll="0">
      <items count="7">
        <item x="0"/>
        <item x="1"/>
        <item x="2"/>
        <item x="3"/>
        <item x="4"/>
        <item x="5"/>
        <item t="default"/>
      </items>
    </pivotField>
    <pivotField showAll="0"/>
    <pivotField showAll="0"/>
    <pivotField dataField="1" showAll="0"/>
    <pivotField showAll="0"/>
    <pivotField showAll="0"/>
  </pivotFields>
  <rowFields count="1">
    <field x="0"/>
  </rowFields>
  <rowItems count="6">
    <i>
      <x/>
    </i>
    <i>
      <x v="1"/>
    </i>
    <i>
      <x v="2"/>
    </i>
    <i>
      <x v="3"/>
    </i>
    <i>
      <x v="4"/>
    </i>
    <i t="grand">
      <x/>
    </i>
  </rowItems>
  <colFields count="1">
    <field x="1"/>
  </colFields>
  <colItems count="7">
    <i>
      <x/>
    </i>
    <i>
      <x v="1"/>
    </i>
    <i>
      <x v="2"/>
    </i>
    <i>
      <x v="3"/>
    </i>
    <i>
      <x v="4"/>
    </i>
    <i>
      <x v="5"/>
    </i>
    <i t="grand">
      <x/>
    </i>
  </colItems>
  <dataFields count="1">
    <dataField name="Sum of Budgeted Cost" fld="4" baseField="0" baseItem="0"/>
  </dataFields>
  <chartFormats count="12">
    <chartFormat chart="5" format="0" series="1">
      <pivotArea type="data" outline="0" fieldPosition="0">
        <references count="2">
          <reference field="4294967294" count="1" selected="0">
            <x v="0"/>
          </reference>
          <reference field="1" count="1" selected="0">
            <x v="0"/>
          </reference>
        </references>
      </pivotArea>
    </chartFormat>
    <chartFormat chart="5" format="2"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2"/>
          </reference>
        </references>
      </pivotArea>
    </chartFormat>
    <chartFormat chart="5" format="6" series="1">
      <pivotArea type="data" outline="0" fieldPosition="0">
        <references count="2">
          <reference field="4294967294" count="1" selected="0">
            <x v="0"/>
          </reference>
          <reference field="1" count="1" selected="0">
            <x v="3"/>
          </reference>
        </references>
      </pivotArea>
    </chartFormat>
    <chartFormat chart="5" format="8" series="1">
      <pivotArea type="data" outline="0" fieldPosition="0">
        <references count="2">
          <reference field="4294967294" count="1" selected="0">
            <x v="0"/>
          </reference>
          <reference field="1" count="1" selected="0">
            <x v="4"/>
          </reference>
        </references>
      </pivotArea>
    </chartFormat>
    <chartFormat chart="5" format="10" series="1">
      <pivotArea type="data" outline="0" fieldPosition="0">
        <references count="2">
          <reference field="4294967294" count="1" selected="0">
            <x v="0"/>
          </reference>
          <reference field="1" count="1" selected="0">
            <x v="5"/>
          </reference>
        </references>
      </pivotArea>
    </chartFormat>
    <chartFormat chart="10" format="24" series="1">
      <pivotArea type="data" outline="0" fieldPosition="0">
        <references count="2">
          <reference field="4294967294" count="1" selected="0">
            <x v="0"/>
          </reference>
          <reference field="1" count="1" selected="0">
            <x v="0"/>
          </reference>
        </references>
      </pivotArea>
    </chartFormat>
    <chartFormat chart="10" format="25" series="1">
      <pivotArea type="data" outline="0" fieldPosition="0">
        <references count="2">
          <reference field="4294967294" count="1" selected="0">
            <x v="0"/>
          </reference>
          <reference field="1" count="1" selected="0">
            <x v="1"/>
          </reference>
        </references>
      </pivotArea>
    </chartFormat>
    <chartFormat chart="10" format="26" series="1">
      <pivotArea type="data" outline="0" fieldPosition="0">
        <references count="2">
          <reference field="4294967294" count="1" selected="0">
            <x v="0"/>
          </reference>
          <reference field="1" count="1" selected="0">
            <x v="3"/>
          </reference>
        </references>
      </pivotArea>
    </chartFormat>
    <chartFormat chart="10" format="27" series="1">
      <pivotArea type="data" outline="0" fieldPosition="0">
        <references count="2">
          <reference field="4294967294" count="1" selected="0">
            <x v="0"/>
          </reference>
          <reference field="1" count="1" selected="0">
            <x v="4"/>
          </reference>
        </references>
      </pivotArea>
    </chartFormat>
    <chartFormat chart="10" format="28" series="1">
      <pivotArea type="data" outline="0" fieldPosition="0">
        <references count="2">
          <reference field="4294967294" count="1" selected="0">
            <x v="0"/>
          </reference>
          <reference field="1" count="1" selected="0">
            <x v="2"/>
          </reference>
        </references>
      </pivotArea>
    </chartFormat>
    <chartFormat chart="10" format="29"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24E24F-5D0D-4B93-81E2-1AB172199EC9}" name="PivotTable2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29:H36" firstHeaderRow="1" firstDataRow="2" firstDataCol="1"/>
  <pivotFields count="7">
    <pivotField axis="axisRow" showAll="0">
      <items count="6">
        <item x="0"/>
        <item x="1"/>
        <item x="2"/>
        <item x="3"/>
        <item x="4"/>
        <item t="default"/>
      </items>
    </pivotField>
    <pivotField axis="axisCol" showAll="0">
      <items count="7">
        <item x="0"/>
        <item x="1"/>
        <item x="2"/>
        <item x="3"/>
        <item x="4"/>
        <item x="5"/>
        <item t="default"/>
      </items>
    </pivotField>
    <pivotField showAll="0"/>
    <pivotField showAll="0"/>
    <pivotField showAll="0"/>
    <pivotField dataField="1" showAll="0"/>
    <pivotField showAll="0"/>
  </pivotFields>
  <rowFields count="1">
    <field x="0"/>
  </rowFields>
  <rowItems count="6">
    <i>
      <x/>
    </i>
    <i>
      <x v="1"/>
    </i>
    <i>
      <x v="2"/>
    </i>
    <i>
      <x v="3"/>
    </i>
    <i>
      <x v="4"/>
    </i>
    <i t="grand">
      <x/>
    </i>
  </rowItems>
  <colFields count="1">
    <field x="1"/>
  </colFields>
  <colItems count="7">
    <i>
      <x/>
    </i>
    <i>
      <x v="1"/>
    </i>
    <i>
      <x v="2"/>
    </i>
    <i>
      <x v="3"/>
    </i>
    <i>
      <x v="4"/>
    </i>
    <i>
      <x v="5"/>
    </i>
    <i t="grand">
      <x/>
    </i>
  </colItems>
  <dataFields count="1">
    <dataField name="Sum of Actual Cost" fld="5" baseField="0" baseItem="0"/>
  </dataFields>
  <chartFormats count="12">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5"/>
          </reference>
        </references>
      </pivotArea>
    </chartFormat>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1"/>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3"/>
          </reference>
        </references>
      </pivotArea>
    </chartFormat>
    <chartFormat chart="4" format="16" series="1">
      <pivotArea type="data" outline="0" fieldPosition="0">
        <references count="2">
          <reference field="4294967294" count="1" selected="0">
            <x v="0"/>
          </reference>
          <reference field="1" count="1" selected="0">
            <x v="4"/>
          </reference>
        </references>
      </pivotArea>
    </chartFormat>
    <chartFormat chart="4"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 xr10:uid="{F10EC71F-E990-42D1-9CFE-E522D0FBA6C1}" sourceName="Task">
  <pivotTables>
    <pivotTable tabId="5" name="PivotTable10"/>
    <pivotTable tabId="5" name="PivotTable13"/>
    <pivotTable tabId="5" name="PivotTable14"/>
    <pivotTable tabId="17" name="PivotTable15"/>
    <pivotTable tabId="17" name="PivotTable16"/>
  </pivotTables>
  <data>
    <tabular pivotCacheId="1319145321">
      <items count="17">
        <i x="0" s="1"/>
        <i x="1" s="1"/>
        <i x="2" s="1"/>
        <i x="3" s="1"/>
        <i x="4" s="1"/>
        <i x="5" s="1"/>
        <i x="6" s="1"/>
        <i x="7" s="1"/>
        <i x="8" s="1"/>
        <i x="9" s="1"/>
        <i x="10" s="1"/>
        <i x="11" s="1"/>
        <i x="12" s="1"/>
        <i x="13" s="1"/>
        <i x="14" s="1"/>
        <i x="15"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urce" xr10:uid="{13FF7C90-7D62-452E-A3DE-D089A99741F0}" sourceName="Resource">
  <pivotTables>
    <pivotTable tabId="5" name="PivotTable13"/>
    <pivotTable tabId="5" name="PivotTable10"/>
    <pivotTable tabId="5" name="PivotTable14"/>
    <pivotTable tabId="17" name="PivotTable15"/>
    <pivotTable tabId="17" name="PivotTable16"/>
  </pivotTables>
  <data>
    <tabular pivotCacheId="1319145321">
      <items count="13">
        <i x="9" s="1"/>
        <i x="6" s="1"/>
        <i x="0" s="1"/>
        <i x="7" s="1"/>
        <i x="8" s="1"/>
        <i x="2" s="1"/>
        <i x="4" s="1"/>
        <i x="12" s="1"/>
        <i x="3" s="1"/>
        <i x="10" s="1"/>
        <i x="11"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____hr" xr10:uid="{E30A90F8-A8D3-48A3-B74B-0CAEFCAD8F9E}" sourceName="Cost $ / hr">
  <pivotTables>
    <pivotTable tabId="17" name="PivotTable15"/>
    <pivotTable tabId="5" name="PivotTable10"/>
    <pivotTable tabId="5" name="PivotTable13"/>
    <pivotTable tabId="5" name="PivotTable14"/>
    <pivotTable tabId="17" name="PivotTable16"/>
  </pivotTables>
  <data>
    <tabular pivotCacheId="1319145321">
      <items count="11">
        <i x="1" s="1"/>
        <i x="9" s="1"/>
        <i x="0" s="1"/>
        <i x="6" s="1"/>
        <i x="2" s="1"/>
        <i x="10" s="1"/>
        <i x="4" s="1"/>
        <i x="7" s="1"/>
        <i x="3" s="1"/>
        <i x="8"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8D4B13A-A94D-4622-AF7A-7BA6CCDD4294}" sourceName="Month">
  <pivotTables>
    <pivotTable tabId="23" name="PivotTable21"/>
    <pivotTable tabId="23" name="PivotTable22"/>
    <pivotTable tabId="23" name="PivotTable24"/>
  </pivotTables>
  <data>
    <tabular pivotCacheId="812364399">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sk" xr10:uid="{967F5680-4D1B-4610-8DF3-2AFCBB921CEC}" cache="Slicer_Task" caption="Task" rowHeight="241300"/>
  <slicer name="Resource" xr10:uid="{C2813368-E00D-4C2F-A59A-BB9F2B42971D}" cache="Slicer_Resource" caption="Resource" rowHeight="241300"/>
  <slicer name="Cost $ / hr" xr10:uid="{152D6F2D-A9C4-49D8-914D-02BED5915455}" cache="Slicer_Cost_____hr" caption="Cost $ / hr" startItem="4" rowHeight="241300"/>
  <slicer name="Month" xr10:uid="{21A4F112-8951-4B56-B3B8-1B518632285E}" cache="Slicer_Month" caption="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9"/>
  <sheetViews>
    <sheetView zoomScale="80" zoomScaleNormal="80" workbookViewId="0">
      <selection activeCell="A8" sqref="A8:AC62"/>
    </sheetView>
  </sheetViews>
  <sheetFormatPr defaultRowHeight="14.5" x14ac:dyDescent="0.35"/>
  <cols>
    <col min="1" max="1" width="5.453125" customWidth="1"/>
    <col min="2" max="2" width="11.26953125" customWidth="1"/>
    <col min="4" max="4" width="11.453125" customWidth="1"/>
    <col min="5" max="5" width="13.26953125" customWidth="1"/>
    <col min="6" max="6" width="12.7265625" customWidth="1"/>
    <col min="8" max="8" width="9.81640625" customWidth="1"/>
    <col min="9" max="9" width="10.1796875" customWidth="1"/>
    <col min="10" max="10" width="10.54296875" customWidth="1"/>
    <col min="11" max="17" width="11.1796875" customWidth="1"/>
    <col min="18" max="18" width="13" customWidth="1"/>
    <col min="19" max="19" width="12" customWidth="1"/>
    <col min="20" max="20" width="12.54296875" customWidth="1"/>
    <col min="21" max="21" width="13.1796875" customWidth="1"/>
    <col min="22" max="22" width="12.7265625" customWidth="1"/>
    <col min="23" max="23" width="12.1796875" customWidth="1"/>
    <col min="24" max="24" width="12.26953125" customWidth="1"/>
    <col min="25" max="25" width="13" customWidth="1"/>
    <col min="26" max="26" width="13.54296875" customWidth="1"/>
    <col min="27" max="27" width="14" customWidth="1"/>
    <col min="28" max="28" width="13.1796875" customWidth="1"/>
    <col min="29" max="29" width="12.453125" customWidth="1"/>
  </cols>
  <sheetData>
    <row r="1" spans="1:29" ht="18.5" x14ac:dyDescent="0.45">
      <c r="A1" s="1" t="s">
        <v>1</v>
      </c>
    </row>
    <row r="2" spans="1:29" ht="18.5" x14ac:dyDescent="0.45">
      <c r="A2" s="1" t="s">
        <v>0</v>
      </c>
    </row>
    <row r="3" spans="1:29" ht="18.5" x14ac:dyDescent="0.45">
      <c r="A3" s="1"/>
    </row>
    <row r="4" spans="1:29" ht="18.5" x14ac:dyDescent="0.45">
      <c r="A4" s="1" t="s">
        <v>2</v>
      </c>
    </row>
    <row r="8" spans="1:29" s="4" customFormat="1" x14ac:dyDescent="0.35">
      <c r="F8" s="4" t="s">
        <v>35</v>
      </c>
      <c r="L8" s="4" t="s">
        <v>36</v>
      </c>
      <c r="R8" s="4" t="s">
        <v>37</v>
      </c>
      <c r="X8" s="4" t="s">
        <v>38</v>
      </c>
    </row>
    <row r="9" spans="1:29" x14ac:dyDescent="0.35">
      <c r="B9" t="s">
        <v>3</v>
      </c>
      <c r="C9" t="s">
        <v>4</v>
      </c>
      <c r="D9" t="s">
        <v>5</v>
      </c>
      <c r="E9" t="s">
        <v>51</v>
      </c>
      <c r="F9" t="s">
        <v>6</v>
      </c>
      <c r="G9" t="s">
        <v>7</v>
      </c>
      <c r="H9" t="s">
        <v>8</v>
      </c>
      <c r="I9" t="s">
        <v>9</v>
      </c>
      <c r="J9" t="s">
        <v>10</v>
      </c>
      <c r="K9" t="s">
        <v>11</v>
      </c>
      <c r="L9" t="s">
        <v>6</v>
      </c>
      <c r="M9" t="s">
        <v>7</v>
      </c>
      <c r="N9" t="s">
        <v>8</v>
      </c>
      <c r="O9" t="s">
        <v>9</v>
      </c>
      <c r="P9" t="s">
        <v>10</v>
      </c>
      <c r="Q9" t="s">
        <v>11</v>
      </c>
      <c r="R9" t="s">
        <v>6</v>
      </c>
      <c r="S9" t="s">
        <v>7</v>
      </c>
      <c r="T9" t="s">
        <v>8</v>
      </c>
      <c r="U9" t="s">
        <v>9</v>
      </c>
      <c r="V9" t="s">
        <v>10</v>
      </c>
      <c r="W9" t="s">
        <v>11</v>
      </c>
      <c r="X9" t="s">
        <v>6</v>
      </c>
      <c r="Y9" t="s">
        <v>7</v>
      </c>
      <c r="Z9" t="s">
        <v>8</v>
      </c>
      <c r="AA9" t="s">
        <v>9</v>
      </c>
      <c r="AB9" t="s">
        <v>10</v>
      </c>
      <c r="AC9" t="s">
        <v>11</v>
      </c>
    </row>
    <row r="10" spans="1:29" x14ac:dyDescent="0.35">
      <c r="B10" t="s">
        <v>12</v>
      </c>
      <c r="C10" t="s">
        <v>17</v>
      </c>
      <c r="D10" t="s">
        <v>34</v>
      </c>
      <c r="E10" s="2">
        <v>50</v>
      </c>
      <c r="F10">
        <v>20</v>
      </c>
      <c r="G10">
        <v>20</v>
      </c>
      <c r="H10">
        <v>20</v>
      </c>
      <c r="I10">
        <v>20</v>
      </c>
      <c r="J10">
        <v>20</v>
      </c>
      <c r="K10">
        <v>20</v>
      </c>
      <c r="L10">
        <v>24</v>
      </c>
      <c r="M10">
        <v>24</v>
      </c>
      <c r="N10">
        <v>24</v>
      </c>
      <c r="O10">
        <v>30</v>
      </c>
      <c r="P10">
        <v>30</v>
      </c>
      <c r="Q10">
        <v>30</v>
      </c>
      <c r="R10" s="3">
        <f t="shared" ref="R10:R41" si="0">F10*$E10</f>
        <v>1000</v>
      </c>
      <c r="S10" s="3">
        <f t="shared" ref="S10:S41" si="1">G10*$E10</f>
        <v>1000</v>
      </c>
      <c r="T10" s="3">
        <f t="shared" ref="T10:T41" si="2">H10*$E10</f>
        <v>1000</v>
      </c>
      <c r="U10" s="3">
        <f t="shared" ref="U10:U41" si="3">I10*$E10</f>
        <v>1000</v>
      </c>
      <c r="V10" s="3">
        <f t="shared" ref="V10:V41" si="4">J10*$E10</f>
        <v>1000</v>
      </c>
      <c r="W10" s="3">
        <f t="shared" ref="W10:W41" si="5">K10*$E10</f>
        <v>1000</v>
      </c>
      <c r="X10" s="3">
        <f t="shared" ref="X10:X41" si="6">$E10*L10</f>
        <v>1200</v>
      </c>
      <c r="Y10" s="3">
        <f t="shared" ref="Y10:Y41" si="7">$E10*M10</f>
        <v>1200</v>
      </c>
      <c r="Z10" s="3">
        <f t="shared" ref="Z10:Z41" si="8">$E10*N10</f>
        <v>1200</v>
      </c>
      <c r="AA10" s="3">
        <f t="shared" ref="AA10:AA41" si="9">$E10*O10</f>
        <v>1500</v>
      </c>
      <c r="AB10" s="3">
        <f t="shared" ref="AB10:AB41" si="10">$E10*P10</f>
        <v>1500</v>
      </c>
      <c r="AC10" s="3">
        <f t="shared" ref="AC10:AC41" si="11">$E10*Q10</f>
        <v>1500</v>
      </c>
    </row>
    <row r="11" spans="1:29" x14ac:dyDescent="0.35">
      <c r="B11" t="s">
        <v>12</v>
      </c>
      <c r="C11" t="s">
        <v>17</v>
      </c>
      <c r="D11" t="s">
        <v>39</v>
      </c>
      <c r="E11" s="2">
        <v>35</v>
      </c>
      <c r="F11">
        <v>80</v>
      </c>
      <c r="G11">
        <v>80</v>
      </c>
      <c r="H11">
        <v>80</v>
      </c>
      <c r="I11">
        <v>80</v>
      </c>
      <c r="J11">
        <v>80</v>
      </c>
      <c r="K11">
        <v>80</v>
      </c>
      <c r="L11">
        <v>80</v>
      </c>
      <c r="M11">
        <v>80</v>
      </c>
      <c r="N11">
        <v>80</v>
      </c>
      <c r="O11">
        <v>90</v>
      </c>
      <c r="P11">
        <v>90</v>
      </c>
      <c r="Q11">
        <v>90</v>
      </c>
      <c r="R11" s="3">
        <f t="shared" si="0"/>
        <v>2800</v>
      </c>
      <c r="S11" s="3">
        <f t="shared" si="1"/>
        <v>2800</v>
      </c>
      <c r="T11" s="3">
        <f t="shared" si="2"/>
        <v>2800</v>
      </c>
      <c r="U11" s="3">
        <f t="shared" si="3"/>
        <v>2800</v>
      </c>
      <c r="V11" s="3">
        <f t="shared" si="4"/>
        <v>2800</v>
      </c>
      <c r="W11" s="3">
        <f t="shared" si="5"/>
        <v>2800</v>
      </c>
      <c r="X11" s="3">
        <f t="shared" si="6"/>
        <v>2800</v>
      </c>
      <c r="Y11" s="3">
        <f t="shared" si="7"/>
        <v>2800</v>
      </c>
      <c r="Z11" s="3">
        <f t="shared" si="8"/>
        <v>2800</v>
      </c>
      <c r="AA11" s="3">
        <f t="shared" si="9"/>
        <v>3150</v>
      </c>
      <c r="AB11" s="3">
        <f t="shared" si="10"/>
        <v>3150</v>
      </c>
      <c r="AC11" s="3">
        <f t="shared" si="11"/>
        <v>3150</v>
      </c>
    </row>
    <row r="12" spans="1:29" x14ac:dyDescent="0.35">
      <c r="B12" t="s">
        <v>12</v>
      </c>
      <c r="C12" t="s">
        <v>17</v>
      </c>
      <c r="D12" t="s">
        <v>40</v>
      </c>
      <c r="E12" s="2">
        <v>75</v>
      </c>
      <c r="F12">
        <v>40</v>
      </c>
      <c r="G12">
        <v>40</v>
      </c>
      <c r="H12">
        <v>40</v>
      </c>
      <c r="I12">
        <v>40</v>
      </c>
      <c r="J12">
        <v>40</v>
      </c>
      <c r="K12">
        <v>40</v>
      </c>
      <c r="L12">
        <v>40</v>
      </c>
      <c r="M12">
        <v>40</v>
      </c>
      <c r="N12">
        <v>40</v>
      </c>
      <c r="O12">
        <v>40</v>
      </c>
      <c r="P12">
        <v>40</v>
      </c>
      <c r="Q12">
        <v>40</v>
      </c>
      <c r="R12" s="3">
        <f t="shared" si="0"/>
        <v>3000</v>
      </c>
      <c r="S12" s="3">
        <f t="shared" si="1"/>
        <v>3000</v>
      </c>
      <c r="T12" s="3">
        <f t="shared" si="2"/>
        <v>3000</v>
      </c>
      <c r="U12" s="3">
        <f t="shared" si="3"/>
        <v>3000</v>
      </c>
      <c r="V12" s="3">
        <f t="shared" si="4"/>
        <v>3000</v>
      </c>
      <c r="W12" s="3">
        <f t="shared" si="5"/>
        <v>3000</v>
      </c>
      <c r="X12" s="3">
        <f t="shared" si="6"/>
        <v>3000</v>
      </c>
      <c r="Y12" s="3">
        <f t="shared" si="7"/>
        <v>3000</v>
      </c>
      <c r="Z12" s="3">
        <f t="shared" si="8"/>
        <v>3000</v>
      </c>
      <c r="AA12" s="3">
        <f t="shared" si="9"/>
        <v>3000</v>
      </c>
      <c r="AB12" s="3">
        <f t="shared" si="10"/>
        <v>3000</v>
      </c>
      <c r="AC12" s="3">
        <f t="shared" si="11"/>
        <v>3000</v>
      </c>
    </row>
    <row r="13" spans="1:29" x14ac:dyDescent="0.35">
      <c r="B13" t="s">
        <v>12</v>
      </c>
      <c r="C13" t="s">
        <v>17</v>
      </c>
      <c r="D13" t="s">
        <v>41</v>
      </c>
      <c r="E13" s="2">
        <v>105</v>
      </c>
      <c r="F13">
        <v>20</v>
      </c>
      <c r="G13">
        <v>20</v>
      </c>
      <c r="H13">
        <v>20</v>
      </c>
      <c r="I13">
        <v>20</v>
      </c>
      <c r="J13">
        <v>20</v>
      </c>
      <c r="K13">
        <v>20</v>
      </c>
      <c r="L13">
        <v>20</v>
      </c>
      <c r="M13">
        <v>20</v>
      </c>
      <c r="N13">
        <v>20</v>
      </c>
      <c r="O13">
        <v>20</v>
      </c>
      <c r="P13">
        <v>20</v>
      </c>
      <c r="Q13">
        <v>20</v>
      </c>
      <c r="R13" s="3">
        <f t="shared" si="0"/>
        <v>2100</v>
      </c>
      <c r="S13" s="3">
        <f t="shared" si="1"/>
        <v>2100</v>
      </c>
      <c r="T13" s="3">
        <f t="shared" si="2"/>
        <v>2100</v>
      </c>
      <c r="U13" s="3">
        <f t="shared" si="3"/>
        <v>2100</v>
      </c>
      <c r="V13" s="3">
        <f t="shared" si="4"/>
        <v>2100</v>
      </c>
      <c r="W13" s="3">
        <f t="shared" si="5"/>
        <v>2100</v>
      </c>
      <c r="X13" s="3">
        <f t="shared" si="6"/>
        <v>2100</v>
      </c>
      <c r="Y13" s="3">
        <f t="shared" si="7"/>
        <v>2100</v>
      </c>
      <c r="Z13" s="3">
        <f t="shared" si="8"/>
        <v>2100</v>
      </c>
      <c r="AA13" s="3">
        <f t="shared" si="9"/>
        <v>2100</v>
      </c>
      <c r="AB13" s="3">
        <f t="shared" si="10"/>
        <v>2100</v>
      </c>
      <c r="AC13" s="3">
        <f t="shared" si="11"/>
        <v>2100</v>
      </c>
    </row>
    <row r="14" spans="1:29" x14ac:dyDescent="0.35">
      <c r="B14" t="s">
        <v>12</v>
      </c>
      <c r="C14" t="s">
        <v>17</v>
      </c>
      <c r="D14" t="s">
        <v>42</v>
      </c>
      <c r="E14" s="2">
        <v>90</v>
      </c>
      <c r="F14">
        <v>140</v>
      </c>
      <c r="G14">
        <v>140</v>
      </c>
      <c r="H14">
        <v>140</v>
      </c>
      <c r="I14">
        <v>140</v>
      </c>
      <c r="J14">
        <v>140</v>
      </c>
      <c r="K14">
        <v>140</v>
      </c>
      <c r="L14">
        <v>160</v>
      </c>
      <c r="M14">
        <v>160</v>
      </c>
      <c r="N14">
        <v>160</v>
      </c>
      <c r="O14">
        <v>160</v>
      </c>
      <c r="P14">
        <v>160</v>
      </c>
      <c r="Q14">
        <v>160</v>
      </c>
      <c r="R14" s="3">
        <f t="shared" si="0"/>
        <v>12600</v>
      </c>
      <c r="S14" s="3">
        <f t="shared" si="1"/>
        <v>12600</v>
      </c>
      <c r="T14" s="3">
        <f t="shared" si="2"/>
        <v>12600</v>
      </c>
      <c r="U14" s="3">
        <f t="shared" si="3"/>
        <v>12600</v>
      </c>
      <c r="V14" s="3">
        <f t="shared" si="4"/>
        <v>12600</v>
      </c>
      <c r="W14" s="3">
        <f t="shared" si="5"/>
        <v>12600</v>
      </c>
      <c r="X14" s="3">
        <f t="shared" si="6"/>
        <v>14400</v>
      </c>
      <c r="Y14" s="3">
        <f t="shared" si="7"/>
        <v>14400</v>
      </c>
      <c r="Z14" s="3">
        <f t="shared" si="8"/>
        <v>14400</v>
      </c>
      <c r="AA14" s="3">
        <f t="shared" si="9"/>
        <v>14400</v>
      </c>
      <c r="AB14" s="3">
        <f t="shared" si="10"/>
        <v>14400</v>
      </c>
      <c r="AC14" s="3">
        <f t="shared" si="11"/>
        <v>14400</v>
      </c>
    </row>
    <row r="15" spans="1:29" x14ac:dyDescent="0.35">
      <c r="B15" t="s">
        <v>12</v>
      </c>
      <c r="C15" t="s">
        <v>18</v>
      </c>
      <c r="D15" t="s">
        <v>34</v>
      </c>
      <c r="E15" s="2">
        <v>50</v>
      </c>
      <c r="F15">
        <v>10</v>
      </c>
      <c r="G15">
        <v>10</v>
      </c>
      <c r="H15">
        <v>10</v>
      </c>
      <c r="I15">
        <v>10</v>
      </c>
      <c r="J15">
        <v>10</v>
      </c>
      <c r="K15">
        <v>10</v>
      </c>
      <c r="L15">
        <v>10</v>
      </c>
      <c r="M15">
        <v>10</v>
      </c>
      <c r="N15">
        <v>10</v>
      </c>
      <c r="O15">
        <v>10</v>
      </c>
      <c r="P15">
        <v>10</v>
      </c>
      <c r="Q15">
        <v>10</v>
      </c>
      <c r="R15" s="3">
        <f t="shared" si="0"/>
        <v>500</v>
      </c>
      <c r="S15" s="3">
        <f t="shared" si="1"/>
        <v>500</v>
      </c>
      <c r="T15" s="3">
        <f t="shared" si="2"/>
        <v>500</v>
      </c>
      <c r="U15" s="3">
        <f t="shared" si="3"/>
        <v>500</v>
      </c>
      <c r="V15" s="3">
        <f t="shared" si="4"/>
        <v>500</v>
      </c>
      <c r="W15" s="3">
        <f t="shared" si="5"/>
        <v>500</v>
      </c>
      <c r="X15" s="3">
        <f t="shared" si="6"/>
        <v>500</v>
      </c>
      <c r="Y15" s="3">
        <f t="shared" si="7"/>
        <v>500</v>
      </c>
      <c r="Z15" s="3">
        <f t="shared" si="8"/>
        <v>500</v>
      </c>
      <c r="AA15" s="3">
        <f t="shared" si="9"/>
        <v>500</v>
      </c>
      <c r="AB15" s="3">
        <f t="shared" si="10"/>
        <v>500</v>
      </c>
      <c r="AC15" s="3">
        <f t="shared" si="11"/>
        <v>500</v>
      </c>
    </row>
    <row r="16" spans="1:29" x14ac:dyDescent="0.35">
      <c r="B16" t="s">
        <v>12</v>
      </c>
      <c r="C16" t="s">
        <v>18</v>
      </c>
      <c r="D16" t="s">
        <v>41</v>
      </c>
      <c r="E16" s="2">
        <v>105</v>
      </c>
      <c r="F16">
        <v>20</v>
      </c>
      <c r="G16">
        <v>20</v>
      </c>
      <c r="H16">
        <v>20</v>
      </c>
      <c r="I16">
        <v>20</v>
      </c>
      <c r="J16">
        <v>20</v>
      </c>
      <c r="K16">
        <v>20</v>
      </c>
      <c r="L16">
        <v>20</v>
      </c>
      <c r="M16">
        <v>20</v>
      </c>
      <c r="N16">
        <v>20</v>
      </c>
      <c r="O16">
        <v>20</v>
      </c>
      <c r="P16">
        <v>20</v>
      </c>
      <c r="Q16">
        <v>20</v>
      </c>
      <c r="R16" s="3">
        <f t="shared" si="0"/>
        <v>2100</v>
      </c>
      <c r="S16" s="3">
        <f t="shared" si="1"/>
        <v>2100</v>
      </c>
      <c r="T16" s="3">
        <f t="shared" si="2"/>
        <v>2100</v>
      </c>
      <c r="U16" s="3">
        <f t="shared" si="3"/>
        <v>2100</v>
      </c>
      <c r="V16" s="3">
        <f t="shared" si="4"/>
        <v>2100</v>
      </c>
      <c r="W16" s="3">
        <f t="shared" si="5"/>
        <v>2100</v>
      </c>
      <c r="X16" s="3">
        <f t="shared" si="6"/>
        <v>2100</v>
      </c>
      <c r="Y16" s="3">
        <f t="shared" si="7"/>
        <v>2100</v>
      </c>
      <c r="Z16" s="3">
        <f t="shared" si="8"/>
        <v>2100</v>
      </c>
      <c r="AA16" s="3">
        <f t="shared" si="9"/>
        <v>2100</v>
      </c>
      <c r="AB16" s="3">
        <f t="shared" si="10"/>
        <v>2100</v>
      </c>
      <c r="AC16" s="3">
        <f t="shared" si="11"/>
        <v>2100</v>
      </c>
    </row>
    <row r="17" spans="2:29" x14ac:dyDescent="0.35">
      <c r="B17" t="s">
        <v>12</v>
      </c>
      <c r="C17" t="s">
        <v>19</v>
      </c>
      <c r="D17" t="s">
        <v>34</v>
      </c>
      <c r="E17" s="2">
        <v>50</v>
      </c>
      <c r="F17">
        <v>20</v>
      </c>
      <c r="G17">
        <v>20</v>
      </c>
      <c r="H17">
        <v>20</v>
      </c>
      <c r="I17">
        <v>20</v>
      </c>
      <c r="J17">
        <v>20</v>
      </c>
      <c r="K17">
        <v>20</v>
      </c>
      <c r="L17">
        <v>20</v>
      </c>
      <c r="M17">
        <v>20</v>
      </c>
      <c r="N17">
        <v>20</v>
      </c>
      <c r="O17">
        <v>20</v>
      </c>
      <c r="P17">
        <v>20</v>
      </c>
      <c r="Q17">
        <v>20</v>
      </c>
      <c r="R17" s="3">
        <f t="shared" si="0"/>
        <v>1000</v>
      </c>
      <c r="S17" s="3">
        <f t="shared" si="1"/>
        <v>1000</v>
      </c>
      <c r="T17" s="3">
        <f t="shared" si="2"/>
        <v>1000</v>
      </c>
      <c r="U17" s="3">
        <f t="shared" si="3"/>
        <v>1000</v>
      </c>
      <c r="V17" s="3">
        <f t="shared" si="4"/>
        <v>1000</v>
      </c>
      <c r="W17" s="3">
        <f t="shared" si="5"/>
        <v>1000</v>
      </c>
      <c r="X17" s="3">
        <f t="shared" si="6"/>
        <v>1000</v>
      </c>
      <c r="Y17" s="3">
        <f t="shared" si="7"/>
        <v>1000</v>
      </c>
      <c r="Z17" s="3">
        <f t="shared" si="8"/>
        <v>1000</v>
      </c>
      <c r="AA17" s="3">
        <f t="shared" si="9"/>
        <v>1000</v>
      </c>
      <c r="AB17" s="3">
        <f t="shared" si="10"/>
        <v>1000</v>
      </c>
      <c r="AC17" s="3">
        <f t="shared" si="11"/>
        <v>1000</v>
      </c>
    </row>
    <row r="18" spans="2:29" x14ac:dyDescent="0.35">
      <c r="B18" t="s">
        <v>12</v>
      </c>
      <c r="C18" t="s">
        <v>19</v>
      </c>
      <c r="D18" t="s">
        <v>47</v>
      </c>
      <c r="E18" s="2">
        <v>50</v>
      </c>
      <c r="F18">
        <v>10</v>
      </c>
      <c r="G18">
        <v>10</v>
      </c>
      <c r="H18">
        <v>10</v>
      </c>
      <c r="I18">
        <v>10</v>
      </c>
      <c r="J18">
        <v>10</v>
      </c>
      <c r="K18">
        <v>10</v>
      </c>
      <c r="L18">
        <v>12</v>
      </c>
      <c r="M18">
        <v>12</v>
      </c>
      <c r="N18">
        <v>12</v>
      </c>
      <c r="O18">
        <v>12</v>
      </c>
      <c r="P18">
        <v>12</v>
      </c>
      <c r="Q18">
        <v>12</v>
      </c>
      <c r="R18" s="3">
        <f t="shared" si="0"/>
        <v>500</v>
      </c>
      <c r="S18" s="3">
        <f t="shared" si="1"/>
        <v>500</v>
      </c>
      <c r="T18" s="3">
        <f t="shared" si="2"/>
        <v>500</v>
      </c>
      <c r="U18" s="3">
        <f t="shared" si="3"/>
        <v>500</v>
      </c>
      <c r="V18" s="3">
        <f t="shared" si="4"/>
        <v>500</v>
      </c>
      <c r="W18" s="3">
        <f t="shared" si="5"/>
        <v>500</v>
      </c>
      <c r="X18" s="3">
        <f t="shared" si="6"/>
        <v>600</v>
      </c>
      <c r="Y18" s="3">
        <f t="shared" si="7"/>
        <v>600</v>
      </c>
      <c r="Z18" s="3">
        <f t="shared" si="8"/>
        <v>600</v>
      </c>
      <c r="AA18" s="3">
        <f t="shared" si="9"/>
        <v>600</v>
      </c>
      <c r="AB18" s="3">
        <f t="shared" si="10"/>
        <v>600</v>
      </c>
      <c r="AC18" s="3">
        <f t="shared" si="11"/>
        <v>600</v>
      </c>
    </row>
    <row r="19" spans="2:29" x14ac:dyDescent="0.35">
      <c r="B19" t="s">
        <v>13</v>
      </c>
      <c r="C19" t="s">
        <v>20</v>
      </c>
      <c r="D19" t="s">
        <v>34</v>
      </c>
      <c r="E19" s="2">
        <v>50</v>
      </c>
      <c r="F19">
        <v>20</v>
      </c>
      <c r="G19">
        <v>20</v>
      </c>
      <c r="H19">
        <v>20</v>
      </c>
      <c r="I19">
        <v>20</v>
      </c>
      <c r="J19">
        <v>20</v>
      </c>
      <c r="K19">
        <v>20</v>
      </c>
      <c r="L19">
        <v>24</v>
      </c>
      <c r="M19">
        <v>24</v>
      </c>
      <c r="N19">
        <v>24</v>
      </c>
      <c r="O19">
        <v>24</v>
      </c>
      <c r="P19">
        <v>24</v>
      </c>
      <c r="Q19">
        <v>24</v>
      </c>
      <c r="R19" s="3">
        <f t="shared" si="0"/>
        <v>1000</v>
      </c>
      <c r="S19" s="3">
        <f t="shared" si="1"/>
        <v>1000</v>
      </c>
      <c r="T19" s="3">
        <f t="shared" si="2"/>
        <v>1000</v>
      </c>
      <c r="U19" s="3">
        <f t="shared" si="3"/>
        <v>1000</v>
      </c>
      <c r="V19" s="3">
        <f t="shared" si="4"/>
        <v>1000</v>
      </c>
      <c r="W19" s="3">
        <f t="shared" si="5"/>
        <v>1000</v>
      </c>
      <c r="X19" s="3">
        <f t="shared" si="6"/>
        <v>1200</v>
      </c>
      <c r="Y19" s="3">
        <f t="shared" si="7"/>
        <v>1200</v>
      </c>
      <c r="Z19" s="3">
        <f t="shared" si="8"/>
        <v>1200</v>
      </c>
      <c r="AA19" s="3">
        <f t="shared" si="9"/>
        <v>1200</v>
      </c>
      <c r="AB19" s="3">
        <f t="shared" si="10"/>
        <v>1200</v>
      </c>
      <c r="AC19" s="3">
        <f t="shared" si="11"/>
        <v>1200</v>
      </c>
    </row>
    <row r="20" spans="2:29" x14ac:dyDescent="0.35">
      <c r="B20" t="s">
        <v>13</v>
      </c>
      <c r="C20" t="s">
        <v>20</v>
      </c>
      <c r="D20" t="s">
        <v>40</v>
      </c>
      <c r="E20" s="2">
        <v>75</v>
      </c>
      <c r="F20">
        <v>40</v>
      </c>
      <c r="G20">
        <v>40</v>
      </c>
      <c r="H20">
        <v>40</v>
      </c>
      <c r="I20">
        <v>40</v>
      </c>
      <c r="J20">
        <v>40</v>
      </c>
      <c r="K20">
        <v>40</v>
      </c>
      <c r="L20">
        <v>50</v>
      </c>
      <c r="M20">
        <v>50</v>
      </c>
      <c r="N20">
        <v>50</v>
      </c>
      <c r="O20">
        <v>50</v>
      </c>
      <c r="P20">
        <v>50</v>
      </c>
      <c r="Q20">
        <v>50</v>
      </c>
      <c r="R20" s="3">
        <f t="shared" si="0"/>
        <v>3000</v>
      </c>
      <c r="S20" s="3">
        <f t="shared" si="1"/>
        <v>3000</v>
      </c>
      <c r="T20" s="3">
        <f t="shared" si="2"/>
        <v>3000</v>
      </c>
      <c r="U20" s="3">
        <f t="shared" si="3"/>
        <v>3000</v>
      </c>
      <c r="V20" s="3">
        <f t="shared" si="4"/>
        <v>3000</v>
      </c>
      <c r="W20" s="3">
        <f t="shared" si="5"/>
        <v>3000</v>
      </c>
      <c r="X20" s="3">
        <f t="shared" si="6"/>
        <v>3750</v>
      </c>
      <c r="Y20" s="3">
        <f t="shared" si="7"/>
        <v>3750</v>
      </c>
      <c r="Z20" s="3">
        <f t="shared" si="8"/>
        <v>3750</v>
      </c>
      <c r="AA20" s="3">
        <f t="shared" si="9"/>
        <v>3750</v>
      </c>
      <c r="AB20" s="3">
        <f t="shared" si="10"/>
        <v>3750</v>
      </c>
      <c r="AC20" s="3">
        <f t="shared" si="11"/>
        <v>3750</v>
      </c>
    </row>
    <row r="21" spans="2:29" x14ac:dyDescent="0.35">
      <c r="B21" t="s">
        <v>13</v>
      </c>
      <c r="C21" t="s">
        <v>20</v>
      </c>
      <c r="D21" t="s">
        <v>47</v>
      </c>
      <c r="E21" s="2">
        <v>50</v>
      </c>
      <c r="F21">
        <v>10</v>
      </c>
      <c r="G21">
        <v>10</v>
      </c>
      <c r="H21">
        <v>10</v>
      </c>
      <c r="I21">
        <v>10</v>
      </c>
      <c r="J21">
        <v>10</v>
      </c>
      <c r="K21">
        <v>10</v>
      </c>
      <c r="L21">
        <v>12</v>
      </c>
      <c r="M21">
        <v>12</v>
      </c>
      <c r="N21">
        <v>12</v>
      </c>
      <c r="O21">
        <v>12</v>
      </c>
      <c r="P21">
        <v>12</v>
      </c>
      <c r="Q21">
        <v>12</v>
      </c>
      <c r="R21" s="3">
        <f t="shared" si="0"/>
        <v>500</v>
      </c>
      <c r="S21" s="3">
        <f t="shared" si="1"/>
        <v>500</v>
      </c>
      <c r="T21" s="3">
        <f t="shared" si="2"/>
        <v>500</v>
      </c>
      <c r="U21" s="3">
        <f t="shared" si="3"/>
        <v>500</v>
      </c>
      <c r="V21" s="3">
        <f t="shared" si="4"/>
        <v>500</v>
      </c>
      <c r="W21" s="3">
        <f t="shared" si="5"/>
        <v>500</v>
      </c>
      <c r="X21" s="3">
        <f t="shared" si="6"/>
        <v>600</v>
      </c>
      <c r="Y21" s="3">
        <f t="shared" si="7"/>
        <v>600</v>
      </c>
      <c r="Z21" s="3">
        <f t="shared" si="8"/>
        <v>600</v>
      </c>
      <c r="AA21" s="3">
        <f t="shared" si="9"/>
        <v>600</v>
      </c>
      <c r="AB21" s="3">
        <f t="shared" si="10"/>
        <v>600</v>
      </c>
      <c r="AC21" s="3">
        <f t="shared" si="11"/>
        <v>600</v>
      </c>
    </row>
    <row r="22" spans="2:29" x14ac:dyDescent="0.35">
      <c r="B22" t="s">
        <v>13</v>
      </c>
      <c r="C22" t="s">
        <v>21</v>
      </c>
      <c r="D22" t="s">
        <v>34</v>
      </c>
      <c r="E22" s="2">
        <v>50</v>
      </c>
      <c r="F22">
        <v>5</v>
      </c>
      <c r="G22">
        <v>5</v>
      </c>
      <c r="H22">
        <v>5</v>
      </c>
      <c r="I22">
        <v>5</v>
      </c>
      <c r="J22">
        <v>5</v>
      </c>
      <c r="K22">
        <v>5</v>
      </c>
      <c r="L22">
        <v>5</v>
      </c>
      <c r="M22">
        <v>5</v>
      </c>
      <c r="N22">
        <v>5</v>
      </c>
      <c r="O22">
        <v>5</v>
      </c>
      <c r="P22">
        <v>5</v>
      </c>
      <c r="Q22">
        <v>5</v>
      </c>
      <c r="R22" s="3">
        <f t="shared" si="0"/>
        <v>250</v>
      </c>
      <c r="S22" s="3">
        <f t="shared" si="1"/>
        <v>250</v>
      </c>
      <c r="T22" s="3">
        <f t="shared" si="2"/>
        <v>250</v>
      </c>
      <c r="U22" s="3">
        <f t="shared" si="3"/>
        <v>250</v>
      </c>
      <c r="V22" s="3">
        <f t="shared" si="4"/>
        <v>250</v>
      </c>
      <c r="W22" s="3">
        <f t="shared" si="5"/>
        <v>250</v>
      </c>
      <c r="X22" s="3">
        <f t="shared" si="6"/>
        <v>250</v>
      </c>
      <c r="Y22" s="3">
        <f t="shared" si="7"/>
        <v>250</v>
      </c>
      <c r="Z22" s="3">
        <f t="shared" si="8"/>
        <v>250</v>
      </c>
      <c r="AA22" s="3">
        <f t="shared" si="9"/>
        <v>250</v>
      </c>
      <c r="AB22" s="3">
        <f t="shared" si="10"/>
        <v>250</v>
      </c>
      <c r="AC22" s="3">
        <f t="shared" si="11"/>
        <v>250</v>
      </c>
    </row>
    <row r="23" spans="2:29" x14ac:dyDescent="0.35">
      <c r="B23" t="s">
        <v>13</v>
      </c>
      <c r="C23" t="s">
        <v>21</v>
      </c>
      <c r="D23" t="s">
        <v>41</v>
      </c>
      <c r="E23" s="2">
        <v>105</v>
      </c>
      <c r="F23">
        <v>40</v>
      </c>
      <c r="G23">
        <v>40</v>
      </c>
      <c r="H23">
        <v>40</v>
      </c>
      <c r="I23">
        <v>40</v>
      </c>
      <c r="J23">
        <v>40</v>
      </c>
      <c r="K23">
        <v>40</v>
      </c>
      <c r="L23">
        <v>40</v>
      </c>
      <c r="M23">
        <v>40</v>
      </c>
      <c r="N23">
        <v>40</v>
      </c>
      <c r="O23">
        <v>40</v>
      </c>
      <c r="P23">
        <v>40</v>
      </c>
      <c r="Q23">
        <v>40</v>
      </c>
      <c r="R23" s="3">
        <f t="shared" si="0"/>
        <v>4200</v>
      </c>
      <c r="S23" s="3">
        <f t="shared" si="1"/>
        <v>4200</v>
      </c>
      <c r="T23" s="3">
        <f t="shared" si="2"/>
        <v>4200</v>
      </c>
      <c r="U23" s="3">
        <f t="shared" si="3"/>
        <v>4200</v>
      </c>
      <c r="V23" s="3">
        <f t="shared" si="4"/>
        <v>4200</v>
      </c>
      <c r="W23" s="3">
        <f t="shared" si="5"/>
        <v>4200</v>
      </c>
      <c r="X23" s="3">
        <f t="shared" si="6"/>
        <v>4200</v>
      </c>
      <c r="Y23" s="3">
        <f t="shared" si="7"/>
        <v>4200</v>
      </c>
      <c r="Z23" s="3">
        <f t="shared" si="8"/>
        <v>4200</v>
      </c>
      <c r="AA23" s="3">
        <f t="shared" si="9"/>
        <v>4200</v>
      </c>
      <c r="AB23" s="3">
        <f t="shared" si="10"/>
        <v>4200</v>
      </c>
      <c r="AC23" s="3">
        <f t="shared" si="11"/>
        <v>4200</v>
      </c>
    </row>
    <row r="24" spans="2:29" x14ac:dyDescent="0.35">
      <c r="B24" t="s">
        <v>13</v>
      </c>
      <c r="C24" t="s">
        <v>21</v>
      </c>
      <c r="D24" t="s">
        <v>50</v>
      </c>
      <c r="E24" s="2">
        <v>140</v>
      </c>
      <c r="F24">
        <v>40</v>
      </c>
      <c r="G24">
        <v>40</v>
      </c>
      <c r="H24">
        <v>40</v>
      </c>
      <c r="I24">
        <v>40</v>
      </c>
      <c r="J24">
        <v>40</v>
      </c>
      <c r="K24">
        <v>40</v>
      </c>
      <c r="L24">
        <v>50</v>
      </c>
      <c r="M24">
        <v>50</v>
      </c>
      <c r="N24">
        <v>50</v>
      </c>
      <c r="O24">
        <v>25</v>
      </c>
      <c r="P24">
        <v>25</v>
      </c>
      <c r="Q24">
        <v>25</v>
      </c>
      <c r="R24" s="3">
        <f t="shared" si="0"/>
        <v>5600</v>
      </c>
      <c r="S24" s="3">
        <f t="shared" si="1"/>
        <v>5600</v>
      </c>
      <c r="T24" s="3">
        <f t="shared" si="2"/>
        <v>5600</v>
      </c>
      <c r="U24" s="3">
        <f t="shared" si="3"/>
        <v>5600</v>
      </c>
      <c r="V24" s="3">
        <f t="shared" si="4"/>
        <v>5600</v>
      </c>
      <c r="W24" s="3">
        <f t="shared" si="5"/>
        <v>5600</v>
      </c>
      <c r="X24" s="3">
        <f t="shared" si="6"/>
        <v>7000</v>
      </c>
      <c r="Y24" s="3">
        <f t="shared" si="7"/>
        <v>7000</v>
      </c>
      <c r="Z24" s="3">
        <f t="shared" si="8"/>
        <v>7000</v>
      </c>
      <c r="AA24" s="3">
        <f t="shared" si="9"/>
        <v>3500</v>
      </c>
      <c r="AB24" s="3">
        <f t="shared" si="10"/>
        <v>3500</v>
      </c>
      <c r="AC24" s="3">
        <f t="shared" si="11"/>
        <v>3500</v>
      </c>
    </row>
    <row r="25" spans="2:29" x14ac:dyDescent="0.35">
      <c r="B25" t="s">
        <v>13</v>
      </c>
      <c r="C25" t="s">
        <v>22</v>
      </c>
      <c r="D25" t="s">
        <v>47</v>
      </c>
      <c r="E25" s="2">
        <v>50</v>
      </c>
      <c r="F25">
        <v>10</v>
      </c>
      <c r="G25">
        <v>10</v>
      </c>
      <c r="H25">
        <v>10</v>
      </c>
      <c r="I25">
        <v>10</v>
      </c>
      <c r="J25">
        <v>10</v>
      </c>
      <c r="K25">
        <v>10</v>
      </c>
      <c r="L25">
        <v>12</v>
      </c>
      <c r="M25">
        <v>12</v>
      </c>
      <c r="N25">
        <v>12</v>
      </c>
      <c r="O25">
        <v>12</v>
      </c>
      <c r="P25">
        <v>12</v>
      </c>
      <c r="Q25">
        <v>12</v>
      </c>
      <c r="R25" s="3">
        <f t="shared" si="0"/>
        <v>500</v>
      </c>
      <c r="S25" s="3">
        <f t="shared" si="1"/>
        <v>500</v>
      </c>
      <c r="T25" s="3">
        <f t="shared" si="2"/>
        <v>500</v>
      </c>
      <c r="U25" s="3">
        <f t="shared" si="3"/>
        <v>500</v>
      </c>
      <c r="V25" s="3">
        <f t="shared" si="4"/>
        <v>500</v>
      </c>
      <c r="W25" s="3">
        <f t="shared" si="5"/>
        <v>500</v>
      </c>
      <c r="X25" s="3">
        <f t="shared" si="6"/>
        <v>600</v>
      </c>
      <c r="Y25" s="3">
        <f t="shared" si="7"/>
        <v>600</v>
      </c>
      <c r="Z25" s="3">
        <f t="shared" si="8"/>
        <v>600</v>
      </c>
      <c r="AA25" s="3">
        <f t="shared" si="9"/>
        <v>600</v>
      </c>
      <c r="AB25" s="3">
        <f t="shared" si="10"/>
        <v>600</v>
      </c>
      <c r="AC25" s="3">
        <f t="shared" si="11"/>
        <v>600</v>
      </c>
    </row>
    <row r="26" spans="2:29" x14ac:dyDescent="0.35">
      <c r="B26" t="s">
        <v>13</v>
      </c>
      <c r="C26" t="s">
        <v>22</v>
      </c>
      <c r="D26" t="s">
        <v>48</v>
      </c>
      <c r="E26" s="2">
        <v>60</v>
      </c>
      <c r="F26">
        <v>20</v>
      </c>
      <c r="G26">
        <v>20</v>
      </c>
      <c r="H26">
        <v>20</v>
      </c>
      <c r="I26">
        <v>20</v>
      </c>
      <c r="J26">
        <v>20</v>
      </c>
      <c r="K26">
        <v>20</v>
      </c>
      <c r="L26">
        <v>25</v>
      </c>
      <c r="M26">
        <v>25</v>
      </c>
      <c r="N26">
        <v>25</v>
      </c>
      <c r="O26">
        <v>25</v>
      </c>
      <c r="P26">
        <v>25</v>
      </c>
      <c r="Q26">
        <v>25</v>
      </c>
      <c r="R26" s="3">
        <f t="shared" si="0"/>
        <v>1200</v>
      </c>
      <c r="S26" s="3">
        <f t="shared" si="1"/>
        <v>1200</v>
      </c>
      <c r="T26" s="3">
        <f t="shared" si="2"/>
        <v>1200</v>
      </c>
      <c r="U26" s="3">
        <f t="shared" si="3"/>
        <v>1200</v>
      </c>
      <c r="V26" s="3">
        <f t="shared" si="4"/>
        <v>1200</v>
      </c>
      <c r="W26" s="3">
        <f t="shared" si="5"/>
        <v>1200</v>
      </c>
      <c r="X26" s="3">
        <f t="shared" si="6"/>
        <v>1500</v>
      </c>
      <c r="Y26" s="3">
        <f t="shared" si="7"/>
        <v>1500</v>
      </c>
      <c r="Z26" s="3">
        <f t="shared" si="8"/>
        <v>1500</v>
      </c>
      <c r="AA26" s="3">
        <f t="shared" si="9"/>
        <v>1500</v>
      </c>
      <c r="AB26" s="3">
        <f t="shared" si="10"/>
        <v>1500</v>
      </c>
      <c r="AC26" s="3">
        <f t="shared" si="11"/>
        <v>1500</v>
      </c>
    </row>
    <row r="27" spans="2:29" x14ac:dyDescent="0.35">
      <c r="B27" t="s">
        <v>13</v>
      </c>
      <c r="C27" t="s">
        <v>22</v>
      </c>
      <c r="D27" t="s">
        <v>50</v>
      </c>
      <c r="E27" s="2">
        <v>140</v>
      </c>
      <c r="F27">
        <v>40</v>
      </c>
      <c r="G27">
        <v>40</v>
      </c>
      <c r="H27">
        <v>40</v>
      </c>
      <c r="I27">
        <v>40</v>
      </c>
      <c r="J27">
        <v>40</v>
      </c>
      <c r="K27">
        <v>40</v>
      </c>
      <c r="L27">
        <v>50</v>
      </c>
      <c r="M27">
        <v>50</v>
      </c>
      <c r="N27">
        <v>50</v>
      </c>
      <c r="O27">
        <v>25</v>
      </c>
      <c r="P27">
        <v>25</v>
      </c>
      <c r="Q27">
        <v>25</v>
      </c>
      <c r="R27" s="3">
        <f t="shared" si="0"/>
        <v>5600</v>
      </c>
      <c r="S27" s="3">
        <f t="shared" si="1"/>
        <v>5600</v>
      </c>
      <c r="T27" s="3">
        <f t="shared" si="2"/>
        <v>5600</v>
      </c>
      <c r="U27" s="3">
        <f t="shared" si="3"/>
        <v>5600</v>
      </c>
      <c r="V27" s="3">
        <f t="shared" si="4"/>
        <v>5600</v>
      </c>
      <c r="W27" s="3">
        <f t="shared" si="5"/>
        <v>5600</v>
      </c>
      <c r="X27" s="3">
        <f t="shared" si="6"/>
        <v>7000</v>
      </c>
      <c r="Y27" s="3">
        <f t="shared" si="7"/>
        <v>7000</v>
      </c>
      <c r="Z27" s="3">
        <f t="shared" si="8"/>
        <v>7000</v>
      </c>
      <c r="AA27" s="3">
        <f t="shared" si="9"/>
        <v>3500</v>
      </c>
      <c r="AB27" s="3">
        <f t="shared" si="10"/>
        <v>3500</v>
      </c>
      <c r="AC27" s="3">
        <f t="shared" si="11"/>
        <v>3500</v>
      </c>
    </row>
    <row r="28" spans="2:29" x14ac:dyDescent="0.35">
      <c r="B28" t="s">
        <v>14</v>
      </c>
      <c r="C28" t="s">
        <v>23</v>
      </c>
      <c r="D28" t="s">
        <v>34</v>
      </c>
      <c r="E28" s="2">
        <v>50</v>
      </c>
      <c r="F28">
        <v>10</v>
      </c>
      <c r="G28">
        <v>10</v>
      </c>
      <c r="H28">
        <v>10</v>
      </c>
      <c r="I28">
        <v>10</v>
      </c>
      <c r="J28">
        <v>10</v>
      </c>
      <c r="K28">
        <v>10</v>
      </c>
      <c r="L28">
        <v>5</v>
      </c>
      <c r="M28">
        <v>5</v>
      </c>
      <c r="N28">
        <v>5</v>
      </c>
      <c r="O28">
        <v>5</v>
      </c>
      <c r="P28">
        <v>5</v>
      </c>
      <c r="Q28">
        <v>5</v>
      </c>
      <c r="R28" s="3">
        <f t="shared" si="0"/>
        <v>500</v>
      </c>
      <c r="S28" s="3">
        <f t="shared" si="1"/>
        <v>500</v>
      </c>
      <c r="T28" s="3">
        <f t="shared" si="2"/>
        <v>500</v>
      </c>
      <c r="U28" s="3">
        <f t="shared" si="3"/>
        <v>500</v>
      </c>
      <c r="V28" s="3">
        <f t="shared" si="4"/>
        <v>500</v>
      </c>
      <c r="W28" s="3">
        <f t="shared" si="5"/>
        <v>500</v>
      </c>
      <c r="X28" s="3">
        <f t="shared" si="6"/>
        <v>250</v>
      </c>
      <c r="Y28" s="3">
        <f t="shared" si="7"/>
        <v>250</v>
      </c>
      <c r="Z28" s="3">
        <f t="shared" si="8"/>
        <v>250</v>
      </c>
      <c r="AA28" s="3">
        <f t="shared" si="9"/>
        <v>250</v>
      </c>
      <c r="AB28" s="3">
        <f t="shared" si="10"/>
        <v>250</v>
      </c>
      <c r="AC28" s="3">
        <f t="shared" si="11"/>
        <v>250</v>
      </c>
    </row>
    <row r="29" spans="2:29" x14ac:dyDescent="0.35">
      <c r="B29" t="s">
        <v>14</v>
      </c>
      <c r="C29" t="s">
        <v>23</v>
      </c>
      <c r="D29" t="s">
        <v>39</v>
      </c>
      <c r="E29" s="2">
        <v>35</v>
      </c>
      <c r="F29">
        <v>80</v>
      </c>
      <c r="G29">
        <v>80</v>
      </c>
      <c r="H29">
        <v>80</v>
      </c>
      <c r="I29">
        <v>80</v>
      </c>
      <c r="J29">
        <v>80</v>
      </c>
      <c r="K29">
        <v>80</v>
      </c>
      <c r="L29">
        <v>80</v>
      </c>
      <c r="M29">
        <v>80</v>
      </c>
      <c r="N29">
        <v>80</v>
      </c>
      <c r="O29">
        <v>80</v>
      </c>
      <c r="P29">
        <v>80</v>
      </c>
      <c r="Q29">
        <v>80</v>
      </c>
      <c r="R29" s="3">
        <f t="shared" si="0"/>
        <v>2800</v>
      </c>
      <c r="S29" s="3">
        <f t="shared" si="1"/>
        <v>2800</v>
      </c>
      <c r="T29" s="3">
        <f t="shared" si="2"/>
        <v>2800</v>
      </c>
      <c r="U29" s="3">
        <f t="shared" si="3"/>
        <v>2800</v>
      </c>
      <c r="V29" s="3">
        <f t="shared" si="4"/>
        <v>2800</v>
      </c>
      <c r="W29" s="3">
        <f t="shared" si="5"/>
        <v>2800</v>
      </c>
      <c r="X29" s="3">
        <f t="shared" si="6"/>
        <v>2800</v>
      </c>
      <c r="Y29" s="3">
        <f t="shared" si="7"/>
        <v>2800</v>
      </c>
      <c r="Z29" s="3">
        <f t="shared" si="8"/>
        <v>2800</v>
      </c>
      <c r="AA29" s="3">
        <f t="shared" si="9"/>
        <v>2800</v>
      </c>
      <c r="AB29" s="3">
        <f t="shared" si="10"/>
        <v>2800</v>
      </c>
      <c r="AC29" s="3">
        <f t="shared" si="11"/>
        <v>2800</v>
      </c>
    </row>
    <row r="30" spans="2:29" x14ac:dyDescent="0.35">
      <c r="B30" t="s">
        <v>14</v>
      </c>
      <c r="C30" t="s">
        <v>23</v>
      </c>
      <c r="D30" t="s">
        <v>40</v>
      </c>
      <c r="E30" s="2">
        <v>75</v>
      </c>
      <c r="F30">
        <v>80</v>
      </c>
      <c r="G30">
        <v>80</v>
      </c>
      <c r="H30">
        <v>80</v>
      </c>
      <c r="I30">
        <v>80</v>
      </c>
      <c r="J30">
        <v>80</v>
      </c>
      <c r="K30">
        <v>80</v>
      </c>
      <c r="L30">
        <v>80</v>
      </c>
      <c r="M30">
        <v>80</v>
      </c>
      <c r="N30">
        <v>80</v>
      </c>
      <c r="O30">
        <v>80</v>
      </c>
      <c r="P30">
        <v>80</v>
      </c>
      <c r="Q30">
        <v>80</v>
      </c>
      <c r="R30" s="3">
        <f t="shared" si="0"/>
        <v>6000</v>
      </c>
      <c r="S30" s="3">
        <f t="shared" si="1"/>
        <v>6000</v>
      </c>
      <c r="T30" s="3">
        <f t="shared" si="2"/>
        <v>6000</v>
      </c>
      <c r="U30" s="3">
        <f t="shared" si="3"/>
        <v>6000</v>
      </c>
      <c r="V30" s="3">
        <f t="shared" si="4"/>
        <v>6000</v>
      </c>
      <c r="W30" s="3">
        <f t="shared" si="5"/>
        <v>6000</v>
      </c>
      <c r="X30" s="3">
        <f t="shared" si="6"/>
        <v>6000</v>
      </c>
      <c r="Y30" s="3">
        <f t="shared" si="7"/>
        <v>6000</v>
      </c>
      <c r="Z30" s="3">
        <f t="shared" si="8"/>
        <v>6000</v>
      </c>
      <c r="AA30" s="3">
        <f t="shared" si="9"/>
        <v>6000</v>
      </c>
      <c r="AB30" s="3">
        <f t="shared" si="10"/>
        <v>6000</v>
      </c>
      <c r="AC30" s="3">
        <f t="shared" si="11"/>
        <v>6000</v>
      </c>
    </row>
    <row r="31" spans="2:29" x14ac:dyDescent="0.35">
      <c r="B31" t="s">
        <v>14</v>
      </c>
      <c r="C31" t="s">
        <v>23</v>
      </c>
      <c r="D31" t="s">
        <v>48</v>
      </c>
      <c r="E31" s="2">
        <v>60</v>
      </c>
      <c r="F31">
        <v>20</v>
      </c>
      <c r="G31">
        <v>20</v>
      </c>
      <c r="H31">
        <v>20</v>
      </c>
      <c r="I31">
        <v>20</v>
      </c>
      <c r="J31">
        <v>20</v>
      </c>
      <c r="K31">
        <v>20</v>
      </c>
      <c r="L31">
        <v>25</v>
      </c>
      <c r="M31">
        <v>25</v>
      </c>
      <c r="N31">
        <v>25</v>
      </c>
      <c r="O31">
        <v>25</v>
      </c>
      <c r="P31">
        <v>25</v>
      </c>
      <c r="Q31">
        <v>25</v>
      </c>
      <c r="R31" s="3">
        <f t="shared" si="0"/>
        <v>1200</v>
      </c>
      <c r="S31" s="3">
        <f t="shared" si="1"/>
        <v>1200</v>
      </c>
      <c r="T31" s="3">
        <f t="shared" si="2"/>
        <v>1200</v>
      </c>
      <c r="U31" s="3">
        <f t="shared" si="3"/>
        <v>1200</v>
      </c>
      <c r="V31" s="3">
        <f t="shared" si="4"/>
        <v>1200</v>
      </c>
      <c r="W31" s="3">
        <f t="shared" si="5"/>
        <v>1200</v>
      </c>
      <c r="X31" s="3">
        <f t="shared" si="6"/>
        <v>1500</v>
      </c>
      <c r="Y31" s="3">
        <f t="shared" si="7"/>
        <v>1500</v>
      </c>
      <c r="Z31" s="3">
        <f t="shared" si="8"/>
        <v>1500</v>
      </c>
      <c r="AA31" s="3">
        <f t="shared" si="9"/>
        <v>1500</v>
      </c>
      <c r="AB31" s="3">
        <f t="shared" si="10"/>
        <v>1500</v>
      </c>
      <c r="AC31" s="3">
        <f t="shared" si="11"/>
        <v>1500</v>
      </c>
    </row>
    <row r="32" spans="2:29" x14ac:dyDescent="0.35">
      <c r="B32" t="s">
        <v>14</v>
      </c>
      <c r="C32" t="s">
        <v>24</v>
      </c>
      <c r="D32" t="s">
        <v>41</v>
      </c>
      <c r="E32" s="2">
        <v>105</v>
      </c>
      <c r="F32">
        <v>80</v>
      </c>
      <c r="G32">
        <v>80</v>
      </c>
      <c r="H32">
        <v>80</v>
      </c>
      <c r="I32">
        <v>80</v>
      </c>
      <c r="J32">
        <v>80</v>
      </c>
      <c r="K32">
        <v>80</v>
      </c>
      <c r="L32">
        <v>120</v>
      </c>
      <c r="M32">
        <v>120</v>
      </c>
      <c r="N32">
        <v>120</v>
      </c>
      <c r="O32">
        <v>120</v>
      </c>
      <c r="P32">
        <v>120</v>
      </c>
      <c r="Q32">
        <v>120</v>
      </c>
      <c r="R32" s="3">
        <f t="shared" si="0"/>
        <v>8400</v>
      </c>
      <c r="S32" s="3">
        <f t="shared" si="1"/>
        <v>8400</v>
      </c>
      <c r="T32" s="3">
        <f t="shared" si="2"/>
        <v>8400</v>
      </c>
      <c r="U32" s="3">
        <f t="shared" si="3"/>
        <v>8400</v>
      </c>
      <c r="V32" s="3">
        <f t="shared" si="4"/>
        <v>8400</v>
      </c>
      <c r="W32" s="3">
        <f t="shared" si="5"/>
        <v>8400</v>
      </c>
      <c r="X32" s="3">
        <f t="shared" si="6"/>
        <v>12600</v>
      </c>
      <c r="Y32" s="3">
        <f t="shared" si="7"/>
        <v>12600</v>
      </c>
      <c r="Z32" s="3">
        <f t="shared" si="8"/>
        <v>12600</v>
      </c>
      <c r="AA32" s="3">
        <f t="shared" si="9"/>
        <v>12600</v>
      </c>
      <c r="AB32" s="3">
        <f t="shared" si="10"/>
        <v>12600</v>
      </c>
      <c r="AC32" s="3">
        <f t="shared" si="11"/>
        <v>12600</v>
      </c>
    </row>
    <row r="33" spans="2:29" x14ac:dyDescent="0.35">
      <c r="B33" t="s">
        <v>14</v>
      </c>
      <c r="C33" t="s">
        <v>24</v>
      </c>
      <c r="D33" t="s">
        <v>47</v>
      </c>
      <c r="E33" s="2">
        <v>50</v>
      </c>
      <c r="F33">
        <v>10</v>
      </c>
      <c r="G33">
        <v>10</v>
      </c>
      <c r="H33">
        <v>10</v>
      </c>
      <c r="I33">
        <v>10</v>
      </c>
      <c r="J33">
        <v>10</v>
      </c>
      <c r="K33">
        <v>10</v>
      </c>
      <c r="L33">
        <v>12</v>
      </c>
      <c r="M33">
        <v>12</v>
      </c>
      <c r="N33">
        <v>12</v>
      </c>
      <c r="O33">
        <v>12</v>
      </c>
      <c r="P33">
        <v>12</v>
      </c>
      <c r="Q33">
        <v>12</v>
      </c>
      <c r="R33" s="3">
        <f t="shared" si="0"/>
        <v>500</v>
      </c>
      <c r="S33" s="3">
        <f t="shared" si="1"/>
        <v>500</v>
      </c>
      <c r="T33" s="3">
        <f t="shared" si="2"/>
        <v>500</v>
      </c>
      <c r="U33" s="3">
        <f t="shared" si="3"/>
        <v>500</v>
      </c>
      <c r="V33" s="3">
        <f t="shared" si="4"/>
        <v>500</v>
      </c>
      <c r="W33" s="3">
        <f t="shared" si="5"/>
        <v>500</v>
      </c>
      <c r="X33" s="3">
        <f t="shared" si="6"/>
        <v>600</v>
      </c>
      <c r="Y33" s="3">
        <f t="shared" si="7"/>
        <v>600</v>
      </c>
      <c r="Z33" s="3">
        <f t="shared" si="8"/>
        <v>600</v>
      </c>
      <c r="AA33" s="3">
        <f t="shared" si="9"/>
        <v>600</v>
      </c>
      <c r="AB33" s="3">
        <f t="shared" si="10"/>
        <v>600</v>
      </c>
      <c r="AC33" s="3">
        <f t="shared" si="11"/>
        <v>600</v>
      </c>
    </row>
    <row r="34" spans="2:29" x14ac:dyDescent="0.35">
      <c r="B34" t="s">
        <v>14</v>
      </c>
      <c r="C34" t="s">
        <v>24</v>
      </c>
      <c r="D34" t="s">
        <v>48</v>
      </c>
      <c r="E34" s="2">
        <v>60</v>
      </c>
      <c r="F34">
        <v>20</v>
      </c>
      <c r="G34">
        <v>20</v>
      </c>
      <c r="H34">
        <v>20</v>
      </c>
      <c r="I34">
        <v>20</v>
      </c>
      <c r="J34">
        <v>20</v>
      </c>
      <c r="K34">
        <v>20</v>
      </c>
      <c r="L34">
        <v>25</v>
      </c>
      <c r="M34">
        <v>25</v>
      </c>
      <c r="N34">
        <v>25</v>
      </c>
      <c r="O34">
        <v>25</v>
      </c>
      <c r="P34">
        <v>25</v>
      </c>
      <c r="Q34">
        <v>25</v>
      </c>
      <c r="R34" s="3">
        <f t="shared" si="0"/>
        <v>1200</v>
      </c>
      <c r="S34" s="3">
        <f t="shared" si="1"/>
        <v>1200</v>
      </c>
      <c r="T34" s="3">
        <f t="shared" si="2"/>
        <v>1200</v>
      </c>
      <c r="U34" s="3">
        <f t="shared" si="3"/>
        <v>1200</v>
      </c>
      <c r="V34" s="3">
        <f t="shared" si="4"/>
        <v>1200</v>
      </c>
      <c r="W34" s="3">
        <f t="shared" si="5"/>
        <v>1200</v>
      </c>
      <c r="X34" s="3">
        <f t="shared" si="6"/>
        <v>1500</v>
      </c>
      <c r="Y34" s="3">
        <f t="shared" si="7"/>
        <v>1500</v>
      </c>
      <c r="Z34" s="3">
        <f t="shared" si="8"/>
        <v>1500</v>
      </c>
      <c r="AA34" s="3">
        <f t="shared" si="9"/>
        <v>1500</v>
      </c>
      <c r="AB34" s="3">
        <f t="shared" si="10"/>
        <v>1500</v>
      </c>
      <c r="AC34" s="3">
        <f t="shared" si="11"/>
        <v>1500</v>
      </c>
    </row>
    <row r="35" spans="2:29" x14ac:dyDescent="0.35">
      <c r="B35" t="s">
        <v>14</v>
      </c>
      <c r="C35" t="s">
        <v>25</v>
      </c>
      <c r="D35" t="s">
        <v>34</v>
      </c>
      <c r="E35" s="2">
        <v>50</v>
      </c>
      <c r="F35">
        <v>30</v>
      </c>
      <c r="G35">
        <v>30</v>
      </c>
      <c r="H35">
        <v>30</v>
      </c>
      <c r="I35">
        <v>30</v>
      </c>
      <c r="J35">
        <v>30</v>
      </c>
      <c r="K35">
        <v>30</v>
      </c>
      <c r="L35">
        <v>30</v>
      </c>
      <c r="M35">
        <v>30</v>
      </c>
      <c r="N35">
        <v>30</v>
      </c>
      <c r="O35">
        <v>30</v>
      </c>
      <c r="P35">
        <v>30</v>
      </c>
      <c r="Q35">
        <v>30</v>
      </c>
      <c r="R35" s="3">
        <f t="shared" si="0"/>
        <v>1500</v>
      </c>
      <c r="S35" s="3">
        <f t="shared" si="1"/>
        <v>1500</v>
      </c>
      <c r="T35" s="3">
        <f t="shared" si="2"/>
        <v>1500</v>
      </c>
      <c r="U35" s="3">
        <f t="shared" si="3"/>
        <v>1500</v>
      </c>
      <c r="V35" s="3">
        <f t="shared" si="4"/>
        <v>1500</v>
      </c>
      <c r="W35" s="3">
        <f t="shared" si="5"/>
        <v>1500</v>
      </c>
      <c r="X35" s="3">
        <f t="shared" si="6"/>
        <v>1500</v>
      </c>
      <c r="Y35" s="3">
        <f t="shared" si="7"/>
        <v>1500</v>
      </c>
      <c r="Z35" s="3">
        <f t="shared" si="8"/>
        <v>1500</v>
      </c>
      <c r="AA35" s="3">
        <f t="shared" si="9"/>
        <v>1500</v>
      </c>
      <c r="AB35" s="3">
        <f t="shared" si="10"/>
        <v>1500</v>
      </c>
      <c r="AC35" s="3">
        <f t="shared" si="11"/>
        <v>1500</v>
      </c>
    </row>
    <row r="36" spans="2:29" x14ac:dyDescent="0.35">
      <c r="B36" t="s">
        <v>14</v>
      </c>
      <c r="C36" t="s">
        <v>25</v>
      </c>
      <c r="D36" t="s">
        <v>47</v>
      </c>
      <c r="E36" s="2">
        <v>50</v>
      </c>
      <c r="F36">
        <v>10</v>
      </c>
      <c r="G36">
        <v>10</v>
      </c>
      <c r="H36">
        <v>10</v>
      </c>
      <c r="I36">
        <v>10</v>
      </c>
      <c r="J36">
        <v>10</v>
      </c>
      <c r="K36">
        <v>10</v>
      </c>
      <c r="L36">
        <v>12</v>
      </c>
      <c r="M36">
        <v>12</v>
      </c>
      <c r="N36">
        <v>12</v>
      </c>
      <c r="O36">
        <v>12</v>
      </c>
      <c r="P36">
        <v>12</v>
      </c>
      <c r="Q36">
        <v>12</v>
      </c>
      <c r="R36" s="3">
        <f t="shared" si="0"/>
        <v>500</v>
      </c>
      <c r="S36" s="3">
        <f t="shared" si="1"/>
        <v>500</v>
      </c>
      <c r="T36" s="3">
        <f t="shared" si="2"/>
        <v>500</v>
      </c>
      <c r="U36" s="3">
        <f t="shared" si="3"/>
        <v>500</v>
      </c>
      <c r="V36" s="3">
        <f t="shared" si="4"/>
        <v>500</v>
      </c>
      <c r="W36" s="3">
        <f t="shared" si="5"/>
        <v>500</v>
      </c>
      <c r="X36" s="3">
        <f t="shared" si="6"/>
        <v>600</v>
      </c>
      <c r="Y36" s="3">
        <f t="shared" si="7"/>
        <v>600</v>
      </c>
      <c r="Z36" s="3">
        <f t="shared" si="8"/>
        <v>600</v>
      </c>
      <c r="AA36" s="3">
        <f t="shared" si="9"/>
        <v>600</v>
      </c>
      <c r="AB36" s="3">
        <f t="shared" si="10"/>
        <v>600</v>
      </c>
      <c r="AC36" s="3">
        <f t="shared" si="11"/>
        <v>600</v>
      </c>
    </row>
    <row r="37" spans="2:29" x14ac:dyDescent="0.35">
      <c r="B37" t="s">
        <v>14</v>
      </c>
      <c r="C37" t="s">
        <v>25</v>
      </c>
      <c r="D37" t="s">
        <v>50</v>
      </c>
      <c r="E37" s="2">
        <v>140</v>
      </c>
      <c r="F37">
        <v>40</v>
      </c>
      <c r="G37">
        <v>40</v>
      </c>
      <c r="H37">
        <v>40</v>
      </c>
      <c r="I37">
        <v>40</v>
      </c>
      <c r="J37">
        <v>40</v>
      </c>
      <c r="K37">
        <v>40</v>
      </c>
      <c r="L37">
        <v>50</v>
      </c>
      <c r="M37">
        <v>50</v>
      </c>
      <c r="N37">
        <v>50</v>
      </c>
      <c r="O37">
        <v>25</v>
      </c>
      <c r="P37">
        <v>25</v>
      </c>
      <c r="Q37">
        <v>25</v>
      </c>
      <c r="R37" s="3">
        <f t="shared" si="0"/>
        <v>5600</v>
      </c>
      <c r="S37" s="3">
        <f t="shared" si="1"/>
        <v>5600</v>
      </c>
      <c r="T37" s="3">
        <f t="shared" si="2"/>
        <v>5600</v>
      </c>
      <c r="U37" s="3">
        <f t="shared" si="3"/>
        <v>5600</v>
      </c>
      <c r="V37" s="3">
        <f t="shared" si="4"/>
        <v>5600</v>
      </c>
      <c r="W37" s="3">
        <f t="shared" si="5"/>
        <v>5600</v>
      </c>
      <c r="X37" s="3">
        <f t="shared" si="6"/>
        <v>7000</v>
      </c>
      <c r="Y37" s="3">
        <f t="shared" si="7"/>
        <v>7000</v>
      </c>
      <c r="Z37" s="3">
        <f t="shared" si="8"/>
        <v>7000</v>
      </c>
      <c r="AA37" s="3">
        <f t="shared" si="9"/>
        <v>3500</v>
      </c>
      <c r="AB37" s="3">
        <f t="shared" si="10"/>
        <v>3500</v>
      </c>
      <c r="AC37" s="3">
        <f t="shared" si="11"/>
        <v>3500</v>
      </c>
    </row>
    <row r="38" spans="2:29" x14ac:dyDescent="0.35">
      <c r="B38" t="s">
        <v>14</v>
      </c>
      <c r="C38" t="s">
        <v>26</v>
      </c>
      <c r="D38" t="s">
        <v>47</v>
      </c>
      <c r="E38" s="2">
        <v>50</v>
      </c>
      <c r="F38">
        <v>10</v>
      </c>
      <c r="G38">
        <v>10</v>
      </c>
      <c r="H38">
        <v>10</v>
      </c>
      <c r="I38">
        <v>10</v>
      </c>
      <c r="J38">
        <v>10</v>
      </c>
      <c r="K38">
        <v>10</v>
      </c>
      <c r="L38">
        <v>12</v>
      </c>
      <c r="M38">
        <v>12</v>
      </c>
      <c r="N38">
        <v>12</v>
      </c>
      <c r="O38">
        <v>12</v>
      </c>
      <c r="P38">
        <v>12</v>
      </c>
      <c r="Q38">
        <v>12</v>
      </c>
      <c r="R38" s="3">
        <f t="shared" si="0"/>
        <v>500</v>
      </c>
      <c r="S38" s="3">
        <f t="shared" si="1"/>
        <v>500</v>
      </c>
      <c r="T38" s="3">
        <f t="shared" si="2"/>
        <v>500</v>
      </c>
      <c r="U38" s="3">
        <f t="shared" si="3"/>
        <v>500</v>
      </c>
      <c r="V38" s="3">
        <f t="shared" si="4"/>
        <v>500</v>
      </c>
      <c r="W38" s="3">
        <f t="shared" si="5"/>
        <v>500</v>
      </c>
      <c r="X38" s="3">
        <f t="shared" si="6"/>
        <v>600</v>
      </c>
      <c r="Y38" s="3">
        <f t="shared" si="7"/>
        <v>600</v>
      </c>
      <c r="Z38" s="3">
        <f t="shared" si="8"/>
        <v>600</v>
      </c>
      <c r="AA38" s="3">
        <f t="shared" si="9"/>
        <v>600</v>
      </c>
      <c r="AB38" s="3">
        <f t="shared" si="10"/>
        <v>600</v>
      </c>
      <c r="AC38" s="3">
        <f t="shared" si="11"/>
        <v>600</v>
      </c>
    </row>
    <row r="39" spans="2:29" x14ac:dyDescent="0.35">
      <c r="B39" t="s">
        <v>14</v>
      </c>
      <c r="C39" t="s">
        <v>26</v>
      </c>
      <c r="D39" t="s">
        <v>48</v>
      </c>
      <c r="E39" s="2">
        <v>60</v>
      </c>
      <c r="F39">
        <v>20</v>
      </c>
      <c r="G39">
        <v>20</v>
      </c>
      <c r="H39">
        <v>20</v>
      </c>
      <c r="I39">
        <v>20</v>
      </c>
      <c r="J39">
        <v>20</v>
      </c>
      <c r="K39">
        <v>20</v>
      </c>
      <c r="L39">
        <v>25</v>
      </c>
      <c r="M39">
        <v>25</v>
      </c>
      <c r="N39">
        <v>25</v>
      </c>
      <c r="O39">
        <v>25</v>
      </c>
      <c r="P39">
        <v>25</v>
      </c>
      <c r="Q39">
        <v>25</v>
      </c>
      <c r="R39" s="3">
        <f t="shared" si="0"/>
        <v>1200</v>
      </c>
      <c r="S39" s="3">
        <f t="shared" si="1"/>
        <v>1200</v>
      </c>
      <c r="T39" s="3">
        <f t="shared" si="2"/>
        <v>1200</v>
      </c>
      <c r="U39" s="3">
        <f t="shared" si="3"/>
        <v>1200</v>
      </c>
      <c r="V39" s="3">
        <f t="shared" si="4"/>
        <v>1200</v>
      </c>
      <c r="W39" s="3">
        <f t="shared" si="5"/>
        <v>1200</v>
      </c>
      <c r="X39" s="3">
        <f t="shared" si="6"/>
        <v>1500</v>
      </c>
      <c r="Y39" s="3">
        <f t="shared" si="7"/>
        <v>1500</v>
      </c>
      <c r="Z39" s="3">
        <f t="shared" si="8"/>
        <v>1500</v>
      </c>
      <c r="AA39" s="3">
        <f t="shared" si="9"/>
        <v>1500</v>
      </c>
      <c r="AB39" s="3">
        <f t="shared" si="10"/>
        <v>1500</v>
      </c>
      <c r="AC39" s="3">
        <f t="shared" si="11"/>
        <v>1500</v>
      </c>
    </row>
    <row r="40" spans="2:29" x14ac:dyDescent="0.35">
      <c r="B40" t="s">
        <v>14</v>
      </c>
      <c r="C40" t="s">
        <v>27</v>
      </c>
      <c r="D40" t="s">
        <v>50</v>
      </c>
      <c r="E40" s="2">
        <v>140</v>
      </c>
      <c r="F40">
        <v>40</v>
      </c>
      <c r="G40">
        <v>40</v>
      </c>
      <c r="H40">
        <v>40</v>
      </c>
      <c r="I40">
        <v>40</v>
      </c>
      <c r="J40">
        <v>40</v>
      </c>
      <c r="K40">
        <v>40</v>
      </c>
      <c r="L40">
        <v>50</v>
      </c>
      <c r="M40">
        <v>50</v>
      </c>
      <c r="N40">
        <v>50</v>
      </c>
      <c r="O40">
        <v>25</v>
      </c>
      <c r="P40">
        <v>25</v>
      </c>
      <c r="Q40">
        <v>25</v>
      </c>
      <c r="R40" s="3">
        <f t="shared" si="0"/>
        <v>5600</v>
      </c>
      <c r="S40" s="3">
        <f t="shared" si="1"/>
        <v>5600</v>
      </c>
      <c r="T40" s="3">
        <f t="shared" si="2"/>
        <v>5600</v>
      </c>
      <c r="U40" s="3">
        <f t="shared" si="3"/>
        <v>5600</v>
      </c>
      <c r="V40" s="3">
        <f t="shared" si="4"/>
        <v>5600</v>
      </c>
      <c r="W40" s="3">
        <f t="shared" si="5"/>
        <v>5600</v>
      </c>
      <c r="X40" s="3">
        <f t="shared" si="6"/>
        <v>7000</v>
      </c>
      <c r="Y40" s="3">
        <f t="shared" si="7"/>
        <v>7000</v>
      </c>
      <c r="Z40" s="3">
        <f t="shared" si="8"/>
        <v>7000</v>
      </c>
      <c r="AA40" s="3">
        <f t="shared" si="9"/>
        <v>3500</v>
      </c>
      <c r="AB40" s="3">
        <f t="shared" si="10"/>
        <v>3500</v>
      </c>
      <c r="AC40" s="3">
        <f t="shared" si="11"/>
        <v>3500</v>
      </c>
    </row>
    <row r="41" spans="2:29" x14ac:dyDescent="0.35">
      <c r="B41" t="s">
        <v>14</v>
      </c>
      <c r="C41" t="s">
        <v>27</v>
      </c>
      <c r="D41" t="s">
        <v>47</v>
      </c>
      <c r="E41" s="2">
        <v>50</v>
      </c>
      <c r="F41">
        <v>10</v>
      </c>
      <c r="G41">
        <v>10</v>
      </c>
      <c r="H41">
        <v>10</v>
      </c>
      <c r="I41">
        <v>10</v>
      </c>
      <c r="J41">
        <v>10</v>
      </c>
      <c r="K41">
        <v>10</v>
      </c>
      <c r="L41">
        <v>12</v>
      </c>
      <c r="M41">
        <v>12</v>
      </c>
      <c r="N41">
        <v>12</v>
      </c>
      <c r="O41">
        <v>12</v>
      </c>
      <c r="P41">
        <v>12</v>
      </c>
      <c r="Q41">
        <v>12</v>
      </c>
      <c r="R41" s="3">
        <f t="shared" si="0"/>
        <v>500</v>
      </c>
      <c r="S41" s="3">
        <f t="shared" si="1"/>
        <v>500</v>
      </c>
      <c r="T41" s="3">
        <f t="shared" si="2"/>
        <v>500</v>
      </c>
      <c r="U41" s="3">
        <f t="shared" si="3"/>
        <v>500</v>
      </c>
      <c r="V41" s="3">
        <f t="shared" si="4"/>
        <v>500</v>
      </c>
      <c r="W41" s="3">
        <f t="shared" si="5"/>
        <v>500</v>
      </c>
      <c r="X41" s="3">
        <f t="shared" si="6"/>
        <v>600</v>
      </c>
      <c r="Y41" s="3">
        <f t="shared" si="7"/>
        <v>600</v>
      </c>
      <c r="Z41" s="3">
        <f t="shared" si="8"/>
        <v>600</v>
      </c>
      <c r="AA41" s="3">
        <f t="shared" si="9"/>
        <v>600</v>
      </c>
      <c r="AB41" s="3">
        <f t="shared" si="10"/>
        <v>600</v>
      </c>
      <c r="AC41" s="3">
        <f t="shared" si="11"/>
        <v>600</v>
      </c>
    </row>
    <row r="42" spans="2:29" x14ac:dyDescent="0.35">
      <c r="B42" t="s">
        <v>15</v>
      </c>
      <c r="C42" t="s">
        <v>28</v>
      </c>
      <c r="D42" t="s">
        <v>42</v>
      </c>
      <c r="E42" s="2">
        <v>90</v>
      </c>
      <c r="F42">
        <v>20</v>
      </c>
      <c r="G42">
        <v>20</v>
      </c>
      <c r="H42">
        <v>20</v>
      </c>
      <c r="I42">
        <v>20</v>
      </c>
      <c r="J42">
        <v>20</v>
      </c>
      <c r="K42">
        <v>20</v>
      </c>
      <c r="L42">
        <v>15</v>
      </c>
      <c r="M42">
        <v>15</v>
      </c>
      <c r="N42">
        <v>15</v>
      </c>
      <c r="O42">
        <v>15</v>
      </c>
      <c r="P42">
        <v>15</v>
      </c>
      <c r="Q42">
        <v>15</v>
      </c>
      <c r="R42" s="3">
        <f t="shared" ref="R42:R62" si="12">F42*$E42</f>
        <v>1800</v>
      </c>
      <c r="S42" s="3">
        <f t="shared" ref="S42:S62" si="13">G42*$E42</f>
        <v>1800</v>
      </c>
      <c r="T42" s="3">
        <f t="shared" ref="T42:T62" si="14">H42*$E42</f>
        <v>1800</v>
      </c>
      <c r="U42" s="3">
        <f t="shared" ref="U42:U62" si="15">I42*$E42</f>
        <v>1800</v>
      </c>
      <c r="V42" s="3">
        <f t="shared" ref="V42:V62" si="16">J42*$E42</f>
        <v>1800</v>
      </c>
      <c r="W42" s="3">
        <f t="shared" ref="W42:W62" si="17">K42*$E42</f>
        <v>1800</v>
      </c>
      <c r="X42" s="3">
        <f t="shared" ref="X42:X62" si="18">$E42*L42</f>
        <v>1350</v>
      </c>
      <c r="Y42" s="3">
        <f t="shared" ref="Y42:Y62" si="19">$E42*M42</f>
        <v>1350</v>
      </c>
      <c r="Z42" s="3">
        <f t="shared" ref="Z42:Z62" si="20">$E42*N42</f>
        <v>1350</v>
      </c>
      <c r="AA42" s="3">
        <f t="shared" ref="AA42:AA62" si="21">$E42*O42</f>
        <v>1350</v>
      </c>
      <c r="AB42" s="3">
        <f t="shared" ref="AB42:AB62" si="22">$E42*P42</f>
        <v>1350</v>
      </c>
      <c r="AC42" s="3">
        <f t="shared" ref="AC42:AC62" si="23">$E42*Q42</f>
        <v>1350</v>
      </c>
    </row>
    <row r="43" spans="2:29" x14ac:dyDescent="0.35">
      <c r="B43" t="s">
        <v>15</v>
      </c>
      <c r="C43" t="s">
        <v>28</v>
      </c>
      <c r="D43" t="s">
        <v>43</v>
      </c>
      <c r="E43" s="2">
        <v>95</v>
      </c>
      <c r="F43">
        <v>160</v>
      </c>
      <c r="G43">
        <v>160</v>
      </c>
      <c r="H43">
        <v>160</v>
      </c>
      <c r="I43">
        <v>160</v>
      </c>
      <c r="J43">
        <v>160</v>
      </c>
      <c r="K43">
        <v>160</v>
      </c>
      <c r="L43">
        <v>110</v>
      </c>
      <c r="M43">
        <v>110</v>
      </c>
      <c r="N43">
        <v>110</v>
      </c>
      <c r="O43">
        <v>110</v>
      </c>
      <c r="P43">
        <v>110</v>
      </c>
      <c r="Q43">
        <v>110</v>
      </c>
      <c r="R43" s="3">
        <f t="shared" si="12"/>
        <v>15200</v>
      </c>
      <c r="S43" s="3">
        <f t="shared" si="13"/>
        <v>15200</v>
      </c>
      <c r="T43" s="3">
        <f t="shared" si="14"/>
        <v>15200</v>
      </c>
      <c r="U43" s="3">
        <f t="shared" si="15"/>
        <v>15200</v>
      </c>
      <c r="V43" s="3">
        <f t="shared" si="16"/>
        <v>15200</v>
      </c>
      <c r="W43" s="3">
        <f t="shared" si="17"/>
        <v>15200</v>
      </c>
      <c r="X43" s="3">
        <f t="shared" si="18"/>
        <v>10450</v>
      </c>
      <c r="Y43" s="3">
        <f t="shared" si="19"/>
        <v>10450</v>
      </c>
      <c r="Z43" s="3">
        <f t="shared" si="20"/>
        <v>10450</v>
      </c>
      <c r="AA43" s="3">
        <f t="shared" si="21"/>
        <v>10450</v>
      </c>
      <c r="AB43" s="3">
        <f t="shared" si="22"/>
        <v>10450</v>
      </c>
      <c r="AC43" s="3">
        <f t="shared" si="23"/>
        <v>10450</v>
      </c>
    </row>
    <row r="44" spans="2:29" x14ac:dyDescent="0.35">
      <c r="B44" t="s">
        <v>15</v>
      </c>
      <c r="C44" t="s">
        <v>28</v>
      </c>
      <c r="D44" t="s">
        <v>48</v>
      </c>
      <c r="E44" s="2">
        <v>60</v>
      </c>
      <c r="F44">
        <v>20</v>
      </c>
      <c r="G44">
        <v>20</v>
      </c>
      <c r="H44">
        <v>20</v>
      </c>
      <c r="I44">
        <v>20</v>
      </c>
      <c r="J44">
        <v>20</v>
      </c>
      <c r="K44">
        <v>20</v>
      </c>
      <c r="L44">
        <v>25</v>
      </c>
      <c r="M44">
        <v>25</v>
      </c>
      <c r="N44">
        <v>25</v>
      </c>
      <c r="O44">
        <v>25</v>
      </c>
      <c r="P44">
        <v>25</v>
      </c>
      <c r="Q44">
        <v>25</v>
      </c>
      <c r="R44" s="3">
        <f t="shared" si="12"/>
        <v>1200</v>
      </c>
      <c r="S44" s="3">
        <f t="shared" si="13"/>
        <v>1200</v>
      </c>
      <c r="T44" s="3">
        <f t="shared" si="14"/>
        <v>1200</v>
      </c>
      <c r="U44" s="3">
        <f t="shared" si="15"/>
        <v>1200</v>
      </c>
      <c r="V44" s="3">
        <f t="shared" si="16"/>
        <v>1200</v>
      </c>
      <c r="W44" s="3">
        <f t="shared" si="17"/>
        <v>1200</v>
      </c>
      <c r="X44" s="3">
        <f t="shared" si="18"/>
        <v>1500</v>
      </c>
      <c r="Y44" s="3">
        <f t="shared" si="19"/>
        <v>1500</v>
      </c>
      <c r="Z44" s="3">
        <f t="shared" si="20"/>
        <v>1500</v>
      </c>
      <c r="AA44" s="3">
        <f t="shared" si="21"/>
        <v>1500</v>
      </c>
      <c r="AB44" s="3">
        <f t="shared" si="22"/>
        <v>1500</v>
      </c>
      <c r="AC44" s="3">
        <f t="shared" si="23"/>
        <v>1500</v>
      </c>
    </row>
    <row r="45" spans="2:29" x14ac:dyDescent="0.35">
      <c r="B45" t="s">
        <v>15</v>
      </c>
      <c r="C45" t="s">
        <v>28</v>
      </c>
      <c r="D45" t="s">
        <v>49</v>
      </c>
      <c r="E45" s="2">
        <v>120</v>
      </c>
      <c r="F45">
        <v>30</v>
      </c>
      <c r="G45">
        <v>30</v>
      </c>
      <c r="H45">
        <v>30</v>
      </c>
      <c r="I45">
        <v>30</v>
      </c>
      <c r="J45">
        <v>30</v>
      </c>
      <c r="K45">
        <v>30</v>
      </c>
      <c r="L45">
        <v>30</v>
      </c>
      <c r="M45">
        <v>30</v>
      </c>
      <c r="N45">
        <v>30</v>
      </c>
      <c r="O45">
        <v>30</v>
      </c>
      <c r="P45">
        <v>30</v>
      </c>
      <c r="Q45">
        <v>30</v>
      </c>
      <c r="R45" s="3">
        <f t="shared" si="12"/>
        <v>3600</v>
      </c>
      <c r="S45" s="3">
        <f t="shared" si="13"/>
        <v>3600</v>
      </c>
      <c r="T45" s="3">
        <f t="shared" si="14"/>
        <v>3600</v>
      </c>
      <c r="U45" s="3">
        <f t="shared" si="15"/>
        <v>3600</v>
      </c>
      <c r="V45" s="3">
        <f t="shared" si="16"/>
        <v>3600</v>
      </c>
      <c r="W45" s="3">
        <f t="shared" si="17"/>
        <v>3600</v>
      </c>
      <c r="X45" s="3">
        <f t="shared" si="18"/>
        <v>3600</v>
      </c>
      <c r="Y45" s="3">
        <f t="shared" si="19"/>
        <v>3600</v>
      </c>
      <c r="Z45" s="3">
        <f t="shared" si="20"/>
        <v>3600</v>
      </c>
      <c r="AA45" s="3">
        <f t="shared" si="21"/>
        <v>3600</v>
      </c>
      <c r="AB45" s="3">
        <f t="shared" si="22"/>
        <v>3600</v>
      </c>
      <c r="AC45" s="3">
        <f t="shared" si="23"/>
        <v>3600</v>
      </c>
    </row>
    <row r="46" spans="2:29" x14ac:dyDescent="0.35">
      <c r="B46" t="s">
        <v>15</v>
      </c>
      <c r="C46" t="s">
        <v>29</v>
      </c>
      <c r="D46" t="s">
        <v>46</v>
      </c>
      <c r="E46" s="2">
        <v>75</v>
      </c>
      <c r="F46">
        <v>80</v>
      </c>
      <c r="G46">
        <v>80</v>
      </c>
      <c r="H46">
        <v>80</v>
      </c>
      <c r="I46">
        <v>80</v>
      </c>
      <c r="J46">
        <v>80</v>
      </c>
      <c r="K46">
        <v>80</v>
      </c>
      <c r="L46">
        <v>80</v>
      </c>
      <c r="M46">
        <v>80</v>
      </c>
      <c r="N46">
        <v>80</v>
      </c>
      <c r="O46">
        <v>80</v>
      </c>
      <c r="P46">
        <v>80</v>
      </c>
      <c r="Q46">
        <v>80</v>
      </c>
      <c r="R46" s="3">
        <f t="shared" si="12"/>
        <v>6000</v>
      </c>
      <c r="S46" s="3">
        <f t="shared" si="13"/>
        <v>6000</v>
      </c>
      <c r="T46" s="3">
        <f t="shared" si="14"/>
        <v>6000</v>
      </c>
      <c r="U46" s="3">
        <f t="shared" si="15"/>
        <v>6000</v>
      </c>
      <c r="V46" s="3">
        <f t="shared" si="16"/>
        <v>6000</v>
      </c>
      <c r="W46" s="3">
        <f t="shared" si="17"/>
        <v>6000</v>
      </c>
      <c r="X46" s="3">
        <f t="shared" si="18"/>
        <v>6000</v>
      </c>
      <c r="Y46" s="3">
        <f t="shared" si="19"/>
        <v>6000</v>
      </c>
      <c r="Z46" s="3">
        <f t="shared" si="20"/>
        <v>6000</v>
      </c>
      <c r="AA46" s="3">
        <f t="shared" si="21"/>
        <v>6000</v>
      </c>
      <c r="AB46" s="3">
        <f t="shared" si="22"/>
        <v>6000</v>
      </c>
      <c r="AC46" s="3">
        <f t="shared" si="23"/>
        <v>6000</v>
      </c>
    </row>
    <row r="47" spans="2:29" x14ac:dyDescent="0.35">
      <c r="B47" t="s">
        <v>15</v>
      </c>
      <c r="C47" t="s">
        <v>29</v>
      </c>
      <c r="D47" t="s">
        <v>47</v>
      </c>
      <c r="E47" s="2">
        <v>50</v>
      </c>
      <c r="F47">
        <v>10</v>
      </c>
      <c r="G47">
        <v>10</v>
      </c>
      <c r="H47">
        <v>10</v>
      </c>
      <c r="I47">
        <v>10</v>
      </c>
      <c r="J47">
        <v>10</v>
      </c>
      <c r="K47">
        <v>10</v>
      </c>
      <c r="L47">
        <v>12</v>
      </c>
      <c r="M47">
        <v>12</v>
      </c>
      <c r="N47">
        <v>12</v>
      </c>
      <c r="O47">
        <v>12</v>
      </c>
      <c r="P47">
        <v>12</v>
      </c>
      <c r="Q47">
        <v>12</v>
      </c>
      <c r="R47" s="3">
        <f t="shared" si="12"/>
        <v>500</v>
      </c>
      <c r="S47" s="3">
        <f t="shared" si="13"/>
        <v>500</v>
      </c>
      <c r="T47" s="3">
        <f t="shared" si="14"/>
        <v>500</v>
      </c>
      <c r="U47" s="3">
        <f t="shared" si="15"/>
        <v>500</v>
      </c>
      <c r="V47" s="3">
        <f t="shared" si="16"/>
        <v>500</v>
      </c>
      <c r="W47" s="3">
        <f t="shared" si="17"/>
        <v>500</v>
      </c>
      <c r="X47" s="3">
        <f t="shared" si="18"/>
        <v>600</v>
      </c>
      <c r="Y47" s="3">
        <f t="shared" si="19"/>
        <v>600</v>
      </c>
      <c r="Z47" s="3">
        <f t="shared" si="20"/>
        <v>600</v>
      </c>
      <c r="AA47" s="3">
        <f t="shared" si="21"/>
        <v>600</v>
      </c>
      <c r="AB47" s="3">
        <f t="shared" si="22"/>
        <v>600</v>
      </c>
      <c r="AC47" s="3">
        <f t="shared" si="23"/>
        <v>600</v>
      </c>
    </row>
    <row r="48" spans="2:29" x14ac:dyDescent="0.35">
      <c r="B48" t="s">
        <v>15</v>
      </c>
      <c r="C48" t="s">
        <v>29</v>
      </c>
      <c r="D48" t="s">
        <v>48</v>
      </c>
      <c r="E48" s="2">
        <v>60</v>
      </c>
      <c r="F48">
        <v>20</v>
      </c>
      <c r="G48">
        <v>20</v>
      </c>
      <c r="H48">
        <v>20</v>
      </c>
      <c r="I48">
        <v>20</v>
      </c>
      <c r="J48">
        <v>20</v>
      </c>
      <c r="K48">
        <v>20</v>
      </c>
      <c r="L48">
        <v>25</v>
      </c>
      <c r="M48">
        <v>25</v>
      </c>
      <c r="N48">
        <v>25</v>
      </c>
      <c r="O48">
        <v>25</v>
      </c>
      <c r="P48">
        <v>25</v>
      </c>
      <c r="Q48">
        <v>25</v>
      </c>
      <c r="R48" s="3">
        <f t="shared" si="12"/>
        <v>1200</v>
      </c>
      <c r="S48" s="3">
        <f t="shared" si="13"/>
        <v>1200</v>
      </c>
      <c r="T48" s="3">
        <f t="shared" si="14"/>
        <v>1200</v>
      </c>
      <c r="U48" s="3">
        <f t="shared" si="15"/>
        <v>1200</v>
      </c>
      <c r="V48" s="3">
        <f t="shared" si="16"/>
        <v>1200</v>
      </c>
      <c r="W48" s="3">
        <f t="shared" si="17"/>
        <v>1200</v>
      </c>
      <c r="X48" s="3">
        <f t="shared" si="18"/>
        <v>1500</v>
      </c>
      <c r="Y48" s="3">
        <f t="shared" si="19"/>
        <v>1500</v>
      </c>
      <c r="Z48" s="3">
        <f t="shared" si="20"/>
        <v>1500</v>
      </c>
      <c r="AA48" s="3">
        <f t="shared" si="21"/>
        <v>1500</v>
      </c>
      <c r="AB48" s="3">
        <f t="shared" si="22"/>
        <v>1500</v>
      </c>
      <c r="AC48" s="3">
        <f t="shared" si="23"/>
        <v>1500</v>
      </c>
    </row>
    <row r="49" spans="2:29" x14ac:dyDescent="0.35">
      <c r="B49" t="s">
        <v>15</v>
      </c>
      <c r="C49" t="s">
        <v>29</v>
      </c>
      <c r="D49" t="s">
        <v>49</v>
      </c>
      <c r="E49" s="2">
        <v>120</v>
      </c>
      <c r="F49">
        <v>30</v>
      </c>
      <c r="G49">
        <v>30</v>
      </c>
      <c r="H49">
        <v>30</v>
      </c>
      <c r="I49">
        <v>30</v>
      </c>
      <c r="J49">
        <v>30</v>
      </c>
      <c r="K49">
        <v>30</v>
      </c>
      <c r="L49">
        <v>30</v>
      </c>
      <c r="M49">
        <v>30</v>
      </c>
      <c r="N49">
        <v>30</v>
      </c>
      <c r="O49">
        <v>30</v>
      </c>
      <c r="P49">
        <v>30</v>
      </c>
      <c r="Q49">
        <v>30</v>
      </c>
      <c r="R49" s="3">
        <f t="shared" si="12"/>
        <v>3600</v>
      </c>
      <c r="S49" s="3">
        <f t="shared" si="13"/>
        <v>3600</v>
      </c>
      <c r="T49" s="3">
        <f t="shared" si="14"/>
        <v>3600</v>
      </c>
      <c r="U49" s="3">
        <f t="shared" si="15"/>
        <v>3600</v>
      </c>
      <c r="V49" s="3">
        <f t="shared" si="16"/>
        <v>3600</v>
      </c>
      <c r="W49" s="3">
        <f t="shared" si="17"/>
        <v>3600</v>
      </c>
      <c r="X49" s="3">
        <f t="shared" si="18"/>
        <v>3600</v>
      </c>
      <c r="Y49" s="3">
        <f t="shared" si="19"/>
        <v>3600</v>
      </c>
      <c r="Z49" s="3">
        <f t="shared" si="20"/>
        <v>3600</v>
      </c>
      <c r="AA49" s="3">
        <f t="shared" si="21"/>
        <v>3600</v>
      </c>
      <c r="AB49" s="3">
        <f t="shared" si="22"/>
        <v>3600</v>
      </c>
      <c r="AC49" s="3">
        <f t="shared" si="23"/>
        <v>3600</v>
      </c>
    </row>
    <row r="50" spans="2:29" x14ac:dyDescent="0.35">
      <c r="B50" t="s">
        <v>15</v>
      </c>
      <c r="C50" t="s">
        <v>30</v>
      </c>
      <c r="D50" t="s">
        <v>46</v>
      </c>
      <c r="E50" s="2">
        <v>75</v>
      </c>
      <c r="F50">
        <v>80</v>
      </c>
      <c r="G50">
        <v>80</v>
      </c>
      <c r="H50">
        <v>80</v>
      </c>
      <c r="I50">
        <v>80</v>
      </c>
      <c r="J50">
        <v>80</v>
      </c>
      <c r="K50">
        <v>80</v>
      </c>
      <c r="L50">
        <v>90</v>
      </c>
      <c r="M50">
        <v>90</v>
      </c>
      <c r="N50">
        <v>90</v>
      </c>
      <c r="O50">
        <v>90</v>
      </c>
      <c r="P50">
        <v>90</v>
      </c>
      <c r="Q50">
        <v>90</v>
      </c>
      <c r="R50" s="3">
        <f t="shared" si="12"/>
        <v>6000</v>
      </c>
      <c r="S50" s="3">
        <f t="shared" si="13"/>
        <v>6000</v>
      </c>
      <c r="T50" s="3">
        <f t="shared" si="14"/>
        <v>6000</v>
      </c>
      <c r="U50" s="3">
        <f t="shared" si="15"/>
        <v>6000</v>
      </c>
      <c r="V50" s="3">
        <f t="shared" si="16"/>
        <v>6000</v>
      </c>
      <c r="W50" s="3">
        <f t="shared" si="17"/>
        <v>6000</v>
      </c>
      <c r="X50" s="3">
        <f t="shared" si="18"/>
        <v>6750</v>
      </c>
      <c r="Y50" s="3">
        <f t="shared" si="19"/>
        <v>6750</v>
      </c>
      <c r="Z50" s="3">
        <f t="shared" si="20"/>
        <v>6750</v>
      </c>
      <c r="AA50" s="3">
        <f t="shared" si="21"/>
        <v>6750</v>
      </c>
      <c r="AB50" s="3">
        <f t="shared" si="22"/>
        <v>6750</v>
      </c>
      <c r="AC50" s="3">
        <f t="shared" si="23"/>
        <v>6750</v>
      </c>
    </row>
    <row r="51" spans="2:29" x14ac:dyDescent="0.35">
      <c r="B51" t="s">
        <v>15</v>
      </c>
      <c r="C51" t="s">
        <v>30</v>
      </c>
      <c r="D51" t="s">
        <v>47</v>
      </c>
      <c r="E51" s="2">
        <v>50</v>
      </c>
      <c r="F51">
        <v>10</v>
      </c>
      <c r="G51">
        <v>10</v>
      </c>
      <c r="H51">
        <v>10</v>
      </c>
      <c r="I51">
        <v>10</v>
      </c>
      <c r="J51">
        <v>10</v>
      </c>
      <c r="K51">
        <v>10</v>
      </c>
      <c r="L51">
        <v>12</v>
      </c>
      <c r="M51">
        <v>12</v>
      </c>
      <c r="N51">
        <v>12</v>
      </c>
      <c r="O51">
        <v>12</v>
      </c>
      <c r="P51">
        <v>12</v>
      </c>
      <c r="Q51">
        <v>12</v>
      </c>
      <c r="R51" s="3">
        <f t="shared" si="12"/>
        <v>500</v>
      </c>
      <c r="S51" s="3">
        <f t="shared" si="13"/>
        <v>500</v>
      </c>
      <c r="T51" s="3">
        <f t="shared" si="14"/>
        <v>500</v>
      </c>
      <c r="U51" s="3">
        <f t="shared" si="15"/>
        <v>500</v>
      </c>
      <c r="V51" s="3">
        <f t="shared" si="16"/>
        <v>500</v>
      </c>
      <c r="W51" s="3">
        <f t="shared" si="17"/>
        <v>500</v>
      </c>
      <c r="X51" s="3">
        <f t="shared" si="18"/>
        <v>600</v>
      </c>
      <c r="Y51" s="3">
        <f t="shared" si="19"/>
        <v>600</v>
      </c>
      <c r="Z51" s="3">
        <f t="shared" si="20"/>
        <v>600</v>
      </c>
      <c r="AA51" s="3">
        <f t="shared" si="21"/>
        <v>600</v>
      </c>
      <c r="AB51" s="3">
        <f t="shared" si="22"/>
        <v>600</v>
      </c>
      <c r="AC51" s="3">
        <f t="shared" si="23"/>
        <v>600</v>
      </c>
    </row>
    <row r="52" spans="2:29" x14ac:dyDescent="0.35">
      <c r="B52" t="s">
        <v>15</v>
      </c>
      <c r="C52" t="s">
        <v>30</v>
      </c>
      <c r="D52" t="s">
        <v>49</v>
      </c>
      <c r="E52" s="2">
        <v>120</v>
      </c>
      <c r="F52">
        <v>30</v>
      </c>
      <c r="G52">
        <v>30</v>
      </c>
      <c r="H52">
        <v>30</v>
      </c>
      <c r="I52">
        <v>30</v>
      </c>
      <c r="J52">
        <v>30</v>
      </c>
      <c r="K52">
        <v>30</v>
      </c>
      <c r="L52">
        <v>30</v>
      </c>
      <c r="M52">
        <v>30</v>
      </c>
      <c r="N52">
        <v>30</v>
      </c>
      <c r="O52">
        <v>30</v>
      </c>
      <c r="P52">
        <v>30</v>
      </c>
      <c r="Q52">
        <v>30</v>
      </c>
      <c r="R52" s="3">
        <f t="shared" si="12"/>
        <v>3600</v>
      </c>
      <c r="S52" s="3">
        <f t="shared" si="13"/>
        <v>3600</v>
      </c>
      <c r="T52" s="3">
        <f t="shared" si="14"/>
        <v>3600</v>
      </c>
      <c r="U52" s="3">
        <f t="shared" si="15"/>
        <v>3600</v>
      </c>
      <c r="V52" s="3">
        <f t="shared" si="16"/>
        <v>3600</v>
      </c>
      <c r="W52" s="3">
        <f t="shared" si="17"/>
        <v>3600</v>
      </c>
      <c r="X52" s="3">
        <f t="shared" si="18"/>
        <v>3600</v>
      </c>
      <c r="Y52" s="3">
        <f t="shared" si="19"/>
        <v>3600</v>
      </c>
      <c r="Z52" s="3">
        <f t="shared" si="20"/>
        <v>3600</v>
      </c>
      <c r="AA52" s="3">
        <f t="shared" si="21"/>
        <v>3600</v>
      </c>
      <c r="AB52" s="3">
        <f t="shared" si="22"/>
        <v>3600</v>
      </c>
      <c r="AC52" s="3">
        <f t="shared" si="23"/>
        <v>3600</v>
      </c>
    </row>
    <row r="53" spans="2:29" x14ac:dyDescent="0.35">
      <c r="B53" t="s">
        <v>15</v>
      </c>
      <c r="C53" t="s">
        <v>31</v>
      </c>
      <c r="D53" t="s">
        <v>47</v>
      </c>
      <c r="E53" s="2">
        <v>50</v>
      </c>
      <c r="F53">
        <v>10</v>
      </c>
      <c r="G53">
        <v>10</v>
      </c>
      <c r="H53">
        <v>10</v>
      </c>
      <c r="I53">
        <v>10</v>
      </c>
      <c r="J53">
        <v>10</v>
      </c>
      <c r="K53">
        <v>10</v>
      </c>
      <c r="L53">
        <v>12</v>
      </c>
      <c r="M53">
        <v>12</v>
      </c>
      <c r="N53">
        <v>12</v>
      </c>
      <c r="O53">
        <v>12</v>
      </c>
      <c r="P53">
        <v>12</v>
      </c>
      <c r="Q53">
        <v>12</v>
      </c>
      <c r="R53" s="3">
        <f t="shared" si="12"/>
        <v>500</v>
      </c>
      <c r="S53" s="3">
        <f t="shared" si="13"/>
        <v>500</v>
      </c>
      <c r="T53" s="3">
        <f t="shared" si="14"/>
        <v>500</v>
      </c>
      <c r="U53" s="3">
        <f t="shared" si="15"/>
        <v>500</v>
      </c>
      <c r="V53" s="3">
        <f t="shared" si="16"/>
        <v>500</v>
      </c>
      <c r="W53" s="3">
        <f t="shared" si="17"/>
        <v>500</v>
      </c>
      <c r="X53" s="3">
        <f t="shared" si="18"/>
        <v>600</v>
      </c>
      <c r="Y53" s="3">
        <f t="shared" si="19"/>
        <v>600</v>
      </c>
      <c r="Z53" s="3">
        <f t="shared" si="20"/>
        <v>600</v>
      </c>
      <c r="AA53" s="3">
        <f t="shared" si="21"/>
        <v>600</v>
      </c>
      <c r="AB53" s="3">
        <f t="shared" si="22"/>
        <v>600</v>
      </c>
      <c r="AC53" s="3">
        <f t="shared" si="23"/>
        <v>600</v>
      </c>
    </row>
    <row r="54" spans="2:29" x14ac:dyDescent="0.35">
      <c r="B54" t="s">
        <v>15</v>
      </c>
      <c r="C54" t="s">
        <v>31</v>
      </c>
      <c r="D54" t="s">
        <v>48</v>
      </c>
      <c r="E54" s="2">
        <v>60</v>
      </c>
      <c r="F54">
        <v>20</v>
      </c>
      <c r="G54">
        <v>20</v>
      </c>
      <c r="H54">
        <v>20</v>
      </c>
      <c r="I54">
        <v>20</v>
      </c>
      <c r="J54">
        <v>20</v>
      </c>
      <c r="K54">
        <v>20</v>
      </c>
      <c r="L54">
        <v>25</v>
      </c>
      <c r="M54">
        <v>25</v>
      </c>
      <c r="N54">
        <v>25</v>
      </c>
      <c r="O54">
        <v>25</v>
      </c>
      <c r="P54">
        <v>25</v>
      </c>
      <c r="Q54">
        <v>25</v>
      </c>
      <c r="R54" s="3">
        <f t="shared" si="12"/>
        <v>1200</v>
      </c>
      <c r="S54" s="3">
        <f t="shared" si="13"/>
        <v>1200</v>
      </c>
      <c r="T54" s="3">
        <f t="shared" si="14"/>
        <v>1200</v>
      </c>
      <c r="U54" s="3">
        <f t="shared" si="15"/>
        <v>1200</v>
      </c>
      <c r="V54" s="3">
        <f t="shared" si="16"/>
        <v>1200</v>
      </c>
      <c r="W54" s="3">
        <f t="shared" si="17"/>
        <v>1200</v>
      </c>
      <c r="X54" s="3">
        <f t="shared" si="18"/>
        <v>1500</v>
      </c>
      <c r="Y54" s="3">
        <f t="shared" si="19"/>
        <v>1500</v>
      </c>
      <c r="Z54" s="3">
        <f t="shared" si="20"/>
        <v>1500</v>
      </c>
      <c r="AA54" s="3">
        <f t="shared" si="21"/>
        <v>1500</v>
      </c>
      <c r="AB54" s="3">
        <f t="shared" si="22"/>
        <v>1500</v>
      </c>
      <c r="AC54" s="3">
        <f t="shared" si="23"/>
        <v>1500</v>
      </c>
    </row>
    <row r="55" spans="2:29" x14ac:dyDescent="0.35">
      <c r="B55" t="s">
        <v>15</v>
      </c>
      <c r="C55" t="s">
        <v>31</v>
      </c>
      <c r="D55" t="s">
        <v>49</v>
      </c>
      <c r="E55" s="2">
        <v>120</v>
      </c>
      <c r="F55">
        <v>30</v>
      </c>
      <c r="G55">
        <v>30</v>
      </c>
      <c r="H55">
        <v>30</v>
      </c>
      <c r="I55">
        <v>30</v>
      </c>
      <c r="J55">
        <v>30</v>
      </c>
      <c r="K55">
        <v>30</v>
      </c>
      <c r="L55">
        <v>30</v>
      </c>
      <c r="M55">
        <v>30</v>
      </c>
      <c r="N55">
        <v>30</v>
      </c>
      <c r="O55">
        <v>30</v>
      </c>
      <c r="P55">
        <v>30</v>
      </c>
      <c r="Q55">
        <v>30</v>
      </c>
      <c r="R55" s="3">
        <f t="shared" si="12"/>
        <v>3600</v>
      </c>
      <c r="S55" s="3">
        <f t="shared" si="13"/>
        <v>3600</v>
      </c>
      <c r="T55" s="3">
        <f t="shared" si="14"/>
        <v>3600</v>
      </c>
      <c r="U55" s="3">
        <f t="shared" si="15"/>
        <v>3600</v>
      </c>
      <c r="V55" s="3">
        <f t="shared" si="16"/>
        <v>3600</v>
      </c>
      <c r="W55" s="3">
        <f t="shared" si="17"/>
        <v>3600</v>
      </c>
      <c r="X55" s="3">
        <f t="shared" si="18"/>
        <v>3600</v>
      </c>
      <c r="Y55" s="3">
        <f t="shared" si="19"/>
        <v>3600</v>
      </c>
      <c r="Z55" s="3">
        <f t="shared" si="20"/>
        <v>3600</v>
      </c>
      <c r="AA55" s="3">
        <f t="shared" si="21"/>
        <v>3600</v>
      </c>
      <c r="AB55" s="3">
        <f t="shared" si="22"/>
        <v>3600</v>
      </c>
      <c r="AC55" s="3">
        <f t="shared" si="23"/>
        <v>3600</v>
      </c>
    </row>
    <row r="56" spans="2:29" x14ac:dyDescent="0.35">
      <c r="B56" t="s">
        <v>16</v>
      </c>
      <c r="C56" t="s">
        <v>32</v>
      </c>
      <c r="D56" t="s">
        <v>34</v>
      </c>
      <c r="E56" s="2">
        <v>50</v>
      </c>
      <c r="F56">
        <v>40</v>
      </c>
      <c r="G56">
        <v>40</v>
      </c>
      <c r="H56">
        <v>40</v>
      </c>
      <c r="I56">
        <v>40</v>
      </c>
      <c r="J56">
        <v>40</v>
      </c>
      <c r="K56">
        <v>40</v>
      </c>
      <c r="L56">
        <v>50</v>
      </c>
      <c r="M56">
        <v>50</v>
      </c>
      <c r="N56">
        <v>50</v>
      </c>
      <c r="O56">
        <v>50</v>
      </c>
      <c r="P56">
        <v>50</v>
      </c>
      <c r="Q56">
        <v>50</v>
      </c>
      <c r="R56" s="3">
        <f t="shared" si="12"/>
        <v>2000</v>
      </c>
      <c r="S56" s="3">
        <f t="shared" si="13"/>
        <v>2000</v>
      </c>
      <c r="T56" s="3">
        <f t="shared" si="14"/>
        <v>2000</v>
      </c>
      <c r="U56" s="3">
        <f t="shared" si="15"/>
        <v>2000</v>
      </c>
      <c r="V56" s="3">
        <f t="shared" si="16"/>
        <v>2000</v>
      </c>
      <c r="W56" s="3">
        <f t="shared" si="17"/>
        <v>2000</v>
      </c>
      <c r="X56" s="3">
        <f t="shared" si="18"/>
        <v>2500</v>
      </c>
      <c r="Y56" s="3">
        <f t="shared" si="19"/>
        <v>2500</v>
      </c>
      <c r="Z56" s="3">
        <f t="shared" si="20"/>
        <v>2500</v>
      </c>
      <c r="AA56" s="3">
        <f t="shared" si="21"/>
        <v>2500</v>
      </c>
      <c r="AB56" s="3">
        <f t="shared" si="22"/>
        <v>2500</v>
      </c>
      <c r="AC56" s="3">
        <f t="shared" si="23"/>
        <v>2500</v>
      </c>
    </row>
    <row r="57" spans="2:29" x14ac:dyDescent="0.35">
      <c r="B57" t="s">
        <v>16</v>
      </c>
      <c r="C57" t="s">
        <v>32</v>
      </c>
      <c r="D57" t="s">
        <v>47</v>
      </c>
      <c r="E57" s="2">
        <v>50</v>
      </c>
      <c r="F57">
        <v>10</v>
      </c>
      <c r="G57">
        <v>10</v>
      </c>
      <c r="H57">
        <v>10</v>
      </c>
      <c r="I57">
        <v>10</v>
      </c>
      <c r="J57">
        <v>10</v>
      </c>
      <c r="K57">
        <v>10</v>
      </c>
      <c r="L57">
        <v>12</v>
      </c>
      <c r="M57">
        <v>12</v>
      </c>
      <c r="N57">
        <v>12</v>
      </c>
      <c r="O57">
        <v>12</v>
      </c>
      <c r="P57">
        <v>12</v>
      </c>
      <c r="Q57">
        <v>12</v>
      </c>
      <c r="R57" s="3">
        <f t="shared" si="12"/>
        <v>500</v>
      </c>
      <c r="S57" s="3">
        <f t="shared" si="13"/>
        <v>500</v>
      </c>
      <c r="T57" s="3">
        <f t="shared" si="14"/>
        <v>500</v>
      </c>
      <c r="U57" s="3">
        <f t="shared" si="15"/>
        <v>500</v>
      </c>
      <c r="V57" s="3">
        <f t="shared" si="16"/>
        <v>500</v>
      </c>
      <c r="W57" s="3">
        <f t="shared" si="17"/>
        <v>500</v>
      </c>
      <c r="X57" s="3">
        <f t="shared" si="18"/>
        <v>600</v>
      </c>
      <c r="Y57" s="3">
        <f t="shared" si="19"/>
        <v>600</v>
      </c>
      <c r="Z57" s="3">
        <f t="shared" si="20"/>
        <v>600</v>
      </c>
      <c r="AA57" s="3">
        <f t="shared" si="21"/>
        <v>600</v>
      </c>
      <c r="AB57" s="3">
        <f t="shared" si="22"/>
        <v>600</v>
      </c>
      <c r="AC57" s="3">
        <f t="shared" si="23"/>
        <v>600</v>
      </c>
    </row>
    <row r="58" spans="2:29" x14ac:dyDescent="0.35">
      <c r="B58" t="s">
        <v>16</v>
      </c>
      <c r="C58" t="s">
        <v>32</v>
      </c>
      <c r="D58" t="s">
        <v>49</v>
      </c>
      <c r="E58" s="2">
        <v>120</v>
      </c>
      <c r="F58">
        <v>30</v>
      </c>
      <c r="G58">
        <v>30</v>
      </c>
      <c r="H58">
        <v>30</v>
      </c>
      <c r="I58">
        <v>30</v>
      </c>
      <c r="J58">
        <v>30</v>
      </c>
      <c r="K58">
        <v>30</v>
      </c>
      <c r="L58">
        <v>30</v>
      </c>
      <c r="M58">
        <v>30</v>
      </c>
      <c r="N58">
        <v>30</v>
      </c>
      <c r="O58">
        <v>30</v>
      </c>
      <c r="P58">
        <v>30</v>
      </c>
      <c r="Q58">
        <v>30</v>
      </c>
      <c r="R58" s="3">
        <f t="shared" si="12"/>
        <v>3600</v>
      </c>
      <c r="S58" s="3">
        <f t="shared" si="13"/>
        <v>3600</v>
      </c>
      <c r="T58" s="3">
        <f t="shared" si="14"/>
        <v>3600</v>
      </c>
      <c r="U58" s="3">
        <f t="shared" si="15"/>
        <v>3600</v>
      </c>
      <c r="V58" s="3">
        <f t="shared" si="16"/>
        <v>3600</v>
      </c>
      <c r="W58" s="3">
        <f t="shared" si="17"/>
        <v>3600</v>
      </c>
      <c r="X58" s="3">
        <f t="shared" si="18"/>
        <v>3600</v>
      </c>
      <c r="Y58" s="3">
        <f t="shared" si="19"/>
        <v>3600</v>
      </c>
      <c r="Z58" s="3">
        <f t="shared" si="20"/>
        <v>3600</v>
      </c>
      <c r="AA58" s="3">
        <f t="shared" si="21"/>
        <v>3600</v>
      </c>
      <c r="AB58" s="3">
        <f t="shared" si="22"/>
        <v>3600</v>
      </c>
      <c r="AC58" s="3">
        <f t="shared" si="23"/>
        <v>3600</v>
      </c>
    </row>
    <row r="59" spans="2:29" x14ac:dyDescent="0.35">
      <c r="B59" t="s">
        <v>16</v>
      </c>
      <c r="C59" t="s">
        <v>33</v>
      </c>
      <c r="D59" t="s">
        <v>44</v>
      </c>
      <c r="E59" s="2">
        <v>45</v>
      </c>
      <c r="F59">
        <v>160</v>
      </c>
      <c r="G59">
        <v>160</v>
      </c>
      <c r="H59">
        <v>160</v>
      </c>
      <c r="I59">
        <v>160</v>
      </c>
      <c r="J59">
        <v>160</v>
      </c>
      <c r="K59">
        <v>160</v>
      </c>
      <c r="L59">
        <v>160</v>
      </c>
      <c r="M59">
        <v>160</v>
      </c>
      <c r="N59">
        <v>160</v>
      </c>
      <c r="O59">
        <v>160</v>
      </c>
      <c r="P59">
        <v>160</v>
      </c>
      <c r="Q59">
        <v>160</v>
      </c>
      <c r="R59" s="3">
        <f t="shared" si="12"/>
        <v>7200</v>
      </c>
      <c r="S59" s="3">
        <f t="shared" si="13"/>
        <v>7200</v>
      </c>
      <c r="T59" s="3">
        <f t="shared" si="14"/>
        <v>7200</v>
      </c>
      <c r="U59" s="3">
        <f t="shared" si="15"/>
        <v>7200</v>
      </c>
      <c r="V59" s="3">
        <f t="shared" si="16"/>
        <v>7200</v>
      </c>
      <c r="W59" s="3">
        <f t="shared" si="17"/>
        <v>7200</v>
      </c>
      <c r="X59" s="3">
        <f t="shared" si="18"/>
        <v>7200</v>
      </c>
      <c r="Y59" s="3">
        <f t="shared" si="19"/>
        <v>7200</v>
      </c>
      <c r="Z59" s="3">
        <f t="shared" si="20"/>
        <v>7200</v>
      </c>
      <c r="AA59" s="3">
        <f t="shared" si="21"/>
        <v>7200</v>
      </c>
      <c r="AB59" s="3">
        <f t="shared" si="22"/>
        <v>7200</v>
      </c>
      <c r="AC59" s="3">
        <f t="shared" si="23"/>
        <v>7200</v>
      </c>
    </row>
    <row r="60" spans="2:29" x14ac:dyDescent="0.35">
      <c r="B60" t="s">
        <v>16</v>
      </c>
      <c r="C60" t="s">
        <v>33</v>
      </c>
      <c r="D60" t="s">
        <v>45</v>
      </c>
      <c r="E60" s="2">
        <v>88</v>
      </c>
      <c r="F60">
        <v>160</v>
      </c>
      <c r="G60">
        <v>160</v>
      </c>
      <c r="H60">
        <v>160</v>
      </c>
      <c r="I60">
        <v>160</v>
      </c>
      <c r="J60">
        <v>160</v>
      </c>
      <c r="K60">
        <v>160</v>
      </c>
      <c r="L60">
        <v>80</v>
      </c>
      <c r="M60">
        <v>80</v>
      </c>
      <c r="N60">
        <v>80</v>
      </c>
      <c r="O60">
        <v>80</v>
      </c>
      <c r="P60">
        <v>80</v>
      </c>
      <c r="Q60">
        <v>80</v>
      </c>
      <c r="R60" s="3">
        <f t="shared" si="12"/>
        <v>14080</v>
      </c>
      <c r="S60" s="3">
        <f t="shared" si="13"/>
        <v>14080</v>
      </c>
      <c r="T60" s="3">
        <f t="shared" si="14"/>
        <v>14080</v>
      </c>
      <c r="U60" s="3">
        <f t="shared" si="15"/>
        <v>14080</v>
      </c>
      <c r="V60" s="3">
        <f t="shared" si="16"/>
        <v>14080</v>
      </c>
      <c r="W60" s="3">
        <f t="shared" si="17"/>
        <v>14080</v>
      </c>
      <c r="X60" s="3">
        <f t="shared" si="18"/>
        <v>7040</v>
      </c>
      <c r="Y60" s="3">
        <f t="shared" si="19"/>
        <v>7040</v>
      </c>
      <c r="Z60" s="3">
        <f t="shared" si="20"/>
        <v>7040</v>
      </c>
      <c r="AA60" s="3">
        <f t="shared" si="21"/>
        <v>7040</v>
      </c>
      <c r="AB60" s="3">
        <f t="shared" si="22"/>
        <v>7040</v>
      </c>
      <c r="AC60" s="3">
        <f t="shared" si="23"/>
        <v>7040</v>
      </c>
    </row>
    <row r="61" spans="2:29" x14ac:dyDescent="0.35">
      <c r="B61" t="s">
        <v>16</v>
      </c>
      <c r="C61" t="s">
        <v>33</v>
      </c>
      <c r="D61" t="s">
        <v>47</v>
      </c>
      <c r="E61" s="2">
        <v>50</v>
      </c>
      <c r="F61">
        <v>10</v>
      </c>
      <c r="G61">
        <v>10</v>
      </c>
      <c r="H61">
        <v>10</v>
      </c>
      <c r="I61">
        <v>10</v>
      </c>
      <c r="J61">
        <v>10</v>
      </c>
      <c r="K61">
        <v>10</v>
      </c>
      <c r="L61">
        <v>12</v>
      </c>
      <c r="M61">
        <v>12</v>
      </c>
      <c r="N61">
        <v>12</v>
      </c>
      <c r="O61">
        <v>12</v>
      </c>
      <c r="P61">
        <v>12</v>
      </c>
      <c r="Q61">
        <v>12</v>
      </c>
      <c r="R61" s="3">
        <f t="shared" si="12"/>
        <v>500</v>
      </c>
      <c r="S61" s="3">
        <f t="shared" si="13"/>
        <v>500</v>
      </c>
      <c r="T61" s="3">
        <f t="shared" si="14"/>
        <v>500</v>
      </c>
      <c r="U61" s="3">
        <f t="shared" si="15"/>
        <v>500</v>
      </c>
      <c r="V61" s="3">
        <f t="shared" si="16"/>
        <v>500</v>
      </c>
      <c r="W61" s="3">
        <f t="shared" si="17"/>
        <v>500</v>
      </c>
      <c r="X61" s="3">
        <f t="shared" si="18"/>
        <v>600</v>
      </c>
      <c r="Y61" s="3">
        <f t="shared" si="19"/>
        <v>600</v>
      </c>
      <c r="Z61" s="3">
        <f t="shared" si="20"/>
        <v>600</v>
      </c>
      <c r="AA61" s="3">
        <f t="shared" si="21"/>
        <v>600</v>
      </c>
      <c r="AB61" s="3">
        <f t="shared" si="22"/>
        <v>600</v>
      </c>
      <c r="AC61" s="3">
        <f t="shared" si="23"/>
        <v>600</v>
      </c>
    </row>
    <row r="62" spans="2:29" x14ac:dyDescent="0.35">
      <c r="B62" t="s">
        <v>16</v>
      </c>
      <c r="C62" t="s">
        <v>33</v>
      </c>
      <c r="D62" t="s">
        <v>48</v>
      </c>
      <c r="E62" s="2">
        <v>60</v>
      </c>
      <c r="F62">
        <v>20</v>
      </c>
      <c r="G62">
        <v>20</v>
      </c>
      <c r="H62">
        <v>20</v>
      </c>
      <c r="I62">
        <v>20</v>
      </c>
      <c r="J62">
        <v>20</v>
      </c>
      <c r="K62">
        <v>20</v>
      </c>
      <c r="L62">
        <v>25</v>
      </c>
      <c r="M62">
        <v>25</v>
      </c>
      <c r="N62">
        <v>25</v>
      </c>
      <c r="O62">
        <v>25</v>
      </c>
      <c r="P62">
        <v>25</v>
      </c>
      <c r="Q62">
        <v>25</v>
      </c>
      <c r="R62" s="3">
        <f t="shared" si="12"/>
        <v>1200</v>
      </c>
      <c r="S62" s="3">
        <f t="shared" si="13"/>
        <v>1200</v>
      </c>
      <c r="T62" s="3">
        <f t="shared" si="14"/>
        <v>1200</v>
      </c>
      <c r="U62" s="3">
        <f t="shared" si="15"/>
        <v>1200</v>
      </c>
      <c r="V62" s="3">
        <f t="shared" si="16"/>
        <v>1200</v>
      </c>
      <c r="W62" s="3">
        <f t="shared" si="17"/>
        <v>1200</v>
      </c>
      <c r="X62" s="3">
        <f t="shared" si="18"/>
        <v>1500</v>
      </c>
      <c r="Y62" s="3">
        <f t="shared" si="19"/>
        <v>1500</v>
      </c>
      <c r="Z62" s="3">
        <f t="shared" si="20"/>
        <v>1500</v>
      </c>
      <c r="AA62" s="3">
        <f t="shared" si="21"/>
        <v>1500</v>
      </c>
      <c r="AB62" s="3">
        <f t="shared" si="22"/>
        <v>1500</v>
      </c>
      <c r="AC62" s="3">
        <f t="shared" si="23"/>
        <v>1500</v>
      </c>
    </row>
    <row r="63" spans="2:29" x14ac:dyDescent="0.35">
      <c r="R63" s="3"/>
      <c r="S63" s="3"/>
      <c r="T63" s="3"/>
      <c r="U63" s="3"/>
      <c r="V63" s="3"/>
      <c r="W63" s="3"/>
      <c r="X63" s="3"/>
      <c r="Y63" s="3"/>
      <c r="Z63" s="3"/>
      <c r="AA63" s="3"/>
      <c r="AB63" s="3"/>
      <c r="AC63" s="3"/>
    </row>
    <row r="64" spans="2:29" x14ac:dyDescent="0.35">
      <c r="R64" s="3"/>
      <c r="S64" s="3"/>
      <c r="T64" s="3"/>
      <c r="U64" s="3"/>
      <c r="V64" s="3"/>
      <c r="W64" s="3"/>
      <c r="X64" s="3"/>
      <c r="Y64" s="3"/>
      <c r="Z64" s="3"/>
      <c r="AA64" s="3"/>
      <c r="AB64" s="3"/>
      <c r="AC64" s="3"/>
    </row>
    <row r="65" spans="18:29" x14ac:dyDescent="0.35">
      <c r="R65" s="3"/>
      <c r="S65" s="3"/>
      <c r="T65" s="3"/>
      <c r="U65" s="3"/>
      <c r="V65" s="3"/>
      <c r="W65" s="3"/>
      <c r="X65" s="3"/>
      <c r="Y65" s="3"/>
      <c r="Z65" s="3"/>
      <c r="AA65" s="3"/>
      <c r="AB65" s="3"/>
      <c r="AC65" s="3"/>
    </row>
    <row r="66" spans="18:29" x14ac:dyDescent="0.35">
      <c r="R66" s="3"/>
      <c r="S66" s="3"/>
      <c r="T66" s="3"/>
      <c r="U66" s="3"/>
      <c r="V66" s="3"/>
      <c r="W66" s="3"/>
      <c r="X66" s="3"/>
      <c r="Y66" s="3"/>
      <c r="Z66" s="3"/>
      <c r="AA66" s="3"/>
      <c r="AB66" s="3"/>
      <c r="AC66" s="3"/>
    </row>
    <row r="67" spans="18:29" x14ac:dyDescent="0.35">
      <c r="R67" s="3"/>
      <c r="S67" s="3"/>
      <c r="T67" s="3"/>
      <c r="U67" s="3"/>
      <c r="V67" s="3"/>
      <c r="W67" s="3"/>
      <c r="X67" s="3"/>
      <c r="Y67" s="3"/>
      <c r="Z67" s="3"/>
      <c r="AA67" s="3"/>
      <c r="AB67" s="3"/>
      <c r="AC67" s="3"/>
    </row>
    <row r="68" spans="18:29" x14ac:dyDescent="0.35">
      <c r="R68" s="3"/>
      <c r="S68" s="3"/>
      <c r="T68" s="3"/>
      <c r="U68" s="3"/>
      <c r="V68" s="3"/>
      <c r="W68" s="3"/>
      <c r="X68" s="3"/>
      <c r="Y68" s="3"/>
      <c r="Z68" s="3"/>
      <c r="AA68" s="3"/>
      <c r="AB68" s="3"/>
      <c r="AC68" s="3"/>
    </row>
    <row r="69" spans="18:29" x14ac:dyDescent="0.35">
      <c r="R69" s="3"/>
      <c r="S69" s="3"/>
      <c r="T69" s="3"/>
      <c r="U69" s="3"/>
      <c r="V69" s="3"/>
      <c r="W69" s="3"/>
      <c r="X69" s="3"/>
      <c r="Y69" s="3"/>
      <c r="Z69" s="3"/>
      <c r="AA69" s="3"/>
      <c r="AB69" s="3"/>
      <c r="AC69" s="3"/>
    </row>
    <row r="70" spans="18:29" x14ac:dyDescent="0.35">
      <c r="R70" s="3"/>
      <c r="S70" s="3"/>
      <c r="T70" s="3"/>
      <c r="U70" s="3"/>
      <c r="V70" s="3"/>
      <c r="W70" s="3"/>
      <c r="X70" s="3"/>
      <c r="Y70" s="3"/>
      <c r="Z70" s="3"/>
      <c r="AA70" s="3"/>
      <c r="AB70" s="3"/>
      <c r="AC70" s="3"/>
    </row>
    <row r="71" spans="18:29" x14ac:dyDescent="0.35">
      <c r="R71" s="3"/>
      <c r="S71" s="3"/>
      <c r="T71" s="3"/>
      <c r="U71" s="3"/>
      <c r="V71" s="3"/>
      <c r="W71" s="3"/>
      <c r="X71" s="3"/>
      <c r="Y71" s="3"/>
      <c r="Z71" s="3"/>
      <c r="AA71" s="3"/>
      <c r="AB71" s="3"/>
      <c r="AC71" s="3"/>
    </row>
    <row r="72" spans="18:29" x14ac:dyDescent="0.35">
      <c r="R72" s="3"/>
      <c r="S72" s="3"/>
      <c r="T72" s="3"/>
      <c r="U72" s="3"/>
      <c r="V72" s="3"/>
      <c r="W72" s="3"/>
      <c r="X72" s="3"/>
      <c r="Y72" s="3"/>
      <c r="Z72" s="3"/>
      <c r="AA72" s="3"/>
      <c r="AB72" s="3"/>
      <c r="AC72" s="3"/>
    </row>
    <row r="73" spans="18:29" x14ac:dyDescent="0.35">
      <c r="R73" s="3"/>
      <c r="S73" s="3"/>
      <c r="T73" s="3"/>
      <c r="U73" s="3"/>
      <c r="V73" s="3"/>
      <c r="W73" s="3"/>
      <c r="X73" s="3"/>
      <c r="Y73" s="3"/>
      <c r="Z73" s="3"/>
      <c r="AA73" s="3"/>
      <c r="AB73" s="3"/>
      <c r="AC73" s="3"/>
    </row>
    <row r="74" spans="18:29" x14ac:dyDescent="0.35">
      <c r="R74" s="3"/>
      <c r="S74" s="3"/>
      <c r="T74" s="3"/>
      <c r="U74" s="3"/>
      <c r="V74" s="3"/>
      <c r="W74" s="3"/>
      <c r="X74" s="3"/>
      <c r="Y74" s="3"/>
      <c r="Z74" s="3"/>
      <c r="AA74" s="3"/>
      <c r="AB74" s="3"/>
      <c r="AC74" s="3"/>
    </row>
    <row r="75" spans="18:29" x14ac:dyDescent="0.35">
      <c r="R75" s="3"/>
      <c r="S75" s="3"/>
      <c r="T75" s="3"/>
      <c r="U75" s="3"/>
      <c r="V75" s="3"/>
      <c r="W75" s="3"/>
      <c r="X75" s="3"/>
      <c r="Y75" s="3"/>
      <c r="Z75" s="3"/>
      <c r="AA75" s="3"/>
      <c r="AB75" s="3"/>
      <c r="AC75" s="3"/>
    </row>
    <row r="76" spans="18:29" x14ac:dyDescent="0.35">
      <c r="R76" s="3"/>
      <c r="S76" s="3"/>
      <c r="T76" s="3"/>
      <c r="U76" s="3"/>
      <c r="V76" s="3"/>
      <c r="W76" s="3"/>
      <c r="X76" s="3"/>
      <c r="Y76" s="3"/>
      <c r="Z76" s="3"/>
      <c r="AA76" s="3"/>
      <c r="AB76" s="3"/>
      <c r="AC76" s="3"/>
    </row>
    <row r="77" spans="18:29" x14ac:dyDescent="0.35">
      <c r="R77" s="3"/>
      <c r="S77" s="3"/>
      <c r="T77" s="3"/>
      <c r="U77" s="3"/>
      <c r="V77" s="3"/>
      <c r="W77" s="3"/>
      <c r="X77" s="3"/>
      <c r="Y77" s="3"/>
      <c r="Z77" s="3"/>
      <c r="AA77" s="3"/>
      <c r="AB77" s="3"/>
      <c r="AC77" s="3"/>
    </row>
    <row r="78" spans="18:29" x14ac:dyDescent="0.35">
      <c r="R78" s="3"/>
      <c r="S78" s="3"/>
      <c r="T78" s="3"/>
      <c r="U78" s="3"/>
      <c r="V78" s="3"/>
      <c r="W78" s="3"/>
      <c r="X78" s="3"/>
      <c r="Y78" s="3"/>
      <c r="Z78" s="3"/>
      <c r="AA78" s="3"/>
      <c r="AB78" s="3"/>
      <c r="AC78" s="3"/>
    </row>
    <row r="79" spans="18:29" x14ac:dyDescent="0.35">
      <c r="R79" s="3"/>
      <c r="S79" s="3"/>
      <c r="T79" s="3"/>
      <c r="U79" s="3"/>
      <c r="V79" s="3"/>
      <c r="W79" s="3"/>
      <c r="X79" s="3"/>
      <c r="Y79" s="3"/>
      <c r="Z79" s="3"/>
      <c r="AA79" s="3"/>
      <c r="AB79" s="3"/>
      <c r="AC79" s="3"/>
    </row>
  </sheetData>
  <sortState xmlns:xlrd2="http://schemas.microsoft.com/office/spreadsheetml/2017/richdata2" ref="B6:X394">
    <sortCondition ref="R6:R394"/>
  </sortState>
  <phoneticPr fontId="19"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72C19-AE93-401C-ADB6-03A6F25D16A7}">
  <dimension ref="A1:AP69"/>
  <sheetViews>
    <sheetView topLeftCell="AF1" workbookViewId="0">
      <selection activeCell="AJ3" sqref="AJ3"/>
    </sheetView>
  </sheetViews>
  <sheetFormatPr defaultRowHeight="14.5" x14ac:dyDescent="0.35"/>
  <cols>
    <col min="1" max="1" width="8.26953125" bestFit="1" customWidth="1"/>
    <col min="2" max="2" width="8.453125" bestFit="1" customWidth="1"/>
    <col min="3" max="3" width="18" bestFit="1" customWidth="1"/>
    <col min="4" max="4" width="20.453125" bestFit="1" customWidth="1"/>
    <col min="5" max="9" width="20" bestFit="1" customWidth="1"/>
    <col min="10" max="15" width="20.26953125" bestFit="1" customWidth="1"/>
    <col min="16" max="21" width="19.54296875" bestFit="1" customWidth="1"/>
    <col min="22" max="27" width="18" bestFit="1" customWidth="1"/>
    <col min="28" max="28" width="11.08984375" bestFit="1" customWidth="1"/>
    <col min="29" max="29" width="19" style="5" bestFit="1" customWidth="1"/>
    <col min="30" max="30" width="16.1796875" style="5" bestFit="1" customWidth="1"/>
    <col min="31" max="31" width="17.6328125" style="5" bestFit="1" customWidth="1"/>
    <col min="32" max="32" width="14.81640625" style="5" bestFit="1" customWidth="1"/>
    <col min="33" max="33" width="12.26953125" style="5" bestFit="1" customWidth="1"/>
    <col min="35" max="35" width="13.6328125" bestFit="1" customWidth="1"/>
    <col min="37" max="37" width="6.54296875" bestFit="1" customWidth="1"/>
    <col min="38" max="38" width="14.36328125" bestFit="1" customWidth="1"/>
    <col min="39" max="39" width="11.54296875" bestFit="1" customWidth="1"/>
    <col min="40" max="40" width="13.08984375" bestFit="1" customWidth="1"/>
    <col min="41" max="41" width="10.26953125" bestFit="1" customWidth="1"/>
    <col min="42" max="42" width="12.26953125" bestFit="1" customWidth="1"/>
  </cols>
  <sheetData>
    <row r="1" spans="1:42" s="4" customFormat="1" x14ac:dyDescent="0.35">
      <c r="E1" s="4" t="s">
        <v>35</v>
      </c>
      <c r="K1" s="4" t="s">
        <v>36</v>
      </c>
      <c r="Q1" s="4" t="s">
        <v>37</v>
      </c>
      <c r="W1" s="4" t="s">
        <v>38</v>
      </c>
      <c r="AC1" s="7"/>
      <c r="AD1" s="7"/>
      <c r="AE1" s="7"/>
      <c r="AF1" s="7"/>
      <c r="AG1" s="7"/>
    </row>
    <row r="2" spans="1:42" s="4" customFormat="1" x14ac:dyDescent="0.35">
      <c r="A2" s="4" t="s">
        <v>3</v>
      </c>
      <c r="B2" s="4" t="s">
        <v>4</v>
      </c>
      <c r="C2" s="4" t="s">
        <v>5</v>
      </c>
      <c r="D2" s="4" t="s">
        <v>51</v>
      </c>
      <c r="E2" s="4" t="s">
        <v>6</v>
      </c>
      <c r="F2" s="4" t="s">
        <v>7</v>
      </c>
      <c r="G2" s="4" t="s">
        <v>8</v>
      </c>
      <c r="H2" s="4" t="s">
        <v>9</v>
      </c>
      <c r="I2" s="4" t="s">
        <v>10</v>
      </c>
      <c r="J2" s="4" t="s">
        <v>11</v>
      </c>
      <c r="K2" s="4" t="s">
        <v>6</v>
      </c>
      <c r="L2" s="4" t="s">
        <v>7</v>
      </c>
      <c r="M2" s="4" t="s">
        <v>8</v>
      </c>
      <c r="N2" s="4" t="s">
        <v>9</v>
      </c>
      <c r="O2" s="4" t="s">
        <v>10</v>
      </c>
      <c r="P2" s="4" t="s">
        <v>11</v>
      </c>
      <c r="Q2" s="4" t="s">
        <v>6</v>
      </c>
      <c r="R2" s="4" t="s">
        <v>7</v>
      </c>
      <c r="S2" s="4" t="s">
        <v>8</v>
      </c>
      <c r="T2" s="4" t="s">
        <v>9</v>
      </c>
      <c r="U2" s="4" t="s">
        <v>10</v>
      </c>
      <c r="V2" s="4" t="s">
        <v>11</v>
      </c>
      <c r="W2" s="4" t="s">
        <v>6</v>
      </c>
      <c r="X2" s="4" t="s">
        <v>7</v>
      </c>
      <c r="Y2" s="4" t="s">
        <v>8</v>
      </c>
      <c r="Z2" s="4" t="s">
        <v>9</v>
      </c>
      <c r="AA2" s="4" t="s">
        <v>10</v>
      </c>
      <c r="AB2" s="4" t="s">
        <v>11</v>
      </c>
      <c r="AC2" s="7" t="s">
        <v>55</v>
      </c>
      <c r="AD2" s="7" t="s">
        <v>56</v>
      </c>
      <c r="AE2" s="7" t="s">
        <v>57</v>
      </c>
      <c r="AF2" s="7" t="s">
        <v>58</v>
      </c>
      <c r="AG2" s="7" t="s">
        <v>59</v>
      </c>
      <c r="AH2" s="7" t="s">
        <v>72</v>
      </c>
      <c r="AI2" s="4" t="s">
        <v>73</v>
      </c>
      <c r="AJ2" s="4" t="s">
        <v>85</v>
      </c>
      <c r="AK2" s="4" t="s">
        <v>77</v>
      </c>
      <c r="AL2" s="4" t="s">
        <v>76</v>
      </c>
      <c r="AM2" s="4" t="s">
        <v>36</v>
      </c>
      <c r="AN2" s="4" t="s">
        <v>78</v>
      </c>
      <c r="AO2" s="4" t="s">
        <v>38</v>
      </c>
      <c r="AP2" s="4" t="s">
        <v>59</v>
      </c>
    </row>
    <row r="3" spans="1:42" x14ac:dyDescent="0.35">
      <c r="A3" t="s">
        <v>12</v>
      </c>
      <c r="B3" t="s">
        <v>17</v>
      </c>
      <c r="C3" t="s">
        <v>34</v>
      </c>
      <c r="D3" s="2">
        <v>50</v>
      </c>
      <c r="E3">
        <v>20</v>
      </c>
      <c r="F3">
        <v>20</v>
      </c>
      <c r="G3">
        <v>20</v>
      </c>
      <c r="H3">
        <v>20</v>
      </c>
      <c r="I3">
        <v>20</v>
      </c>
      <c r="J3">
        <v>20</v>
      </c>
      <c r="K3">
        <v>24</v>
      </c>
      <c r="L3">
        <v>24</v>
      </c>
      <c r="M3">
        <v>24</v>
      </c>
      <c r="N3">
        <v>30</v>
      </c>
      <c r="O3">
        <v>30</v>
      </c>
      <c r="P3">
        <v>30</v>
      </c>
      <c r="Q3" s="3">
        <f t="shared" ref="Q3:V34" si="0">E3*$D3</f>
        <v>1000</v>
      </c>
      <c r="R3" s="3">
        <f t="shared" si="0"/>
        <v>1000</v>
      </c>
      <c r="S3" s="3">
        <f t="shared" si="0"/>
        <v>1000</v>
      </c>
      <c r="T3" s="3">
        <f t="shared" si="0"/>
        <v>1000</v>
      </c>
      <c r="U3" s="3">
        <f t="shared" si="0"/>
        <v>1000</v>
      </c>
      <c r="V3" s="3">
        <f t="shared" si="0"/>
        <v>1000</v>
      </c>
      <c r="W3" s="3">
        <f t="shared" ref="W3:AB34" si="1">$D3*K3</f>
        <v>1200</v>
      </c>
      <c r="X3" s="3">
        <f t="shared" si="1"/>
        <v>1200</v>
      </c>
      <c r="Y3" s="3">
        <f t="shared" si="1"/>
        <v>1200</v>
      </c>
      <c r="Z3" s="3">
        <f t="shared" si="1"/>
        <v>1500</v>
      </c>
      <c r="AA3" s="3">
        <f t="shared" si="1"/>
        <v>1500</v>
      </c>
      <c r="AB3" s="3">
        <f t="shared" si="1"/>
        <v>1500</v>
      </c>
      <c r="AC3" s="5">
        <f>SUM(E3:J3)</f>
        <v>120</v>
      </c>
      <c r="AD3" s="5">
        <f>SUM(K3:P3)</f>
        <v>162</v>
      </c>
      <c r="AE3" s="5">
        <f>SUM(Q3:V3)</f>
        <v>6000</v>
      </c>
      <c r="AF3" s="5">
        <f>SUM(W3:AB3)</f>
        <v>8100</v>
      </c>
      <c r="AG3" s="5">
        <f>AE3-AF3</f>
        <v>-2100</v>
      </c>
      <c r="AH3">
        <f>AF3/AE3</f>
        <v>1.35</v>
      </c>
      <c r="AI3" s="5">
        <f>AC3-AD3</f>
        <v>-42</v>
      </c>
      <c r="AJ3" t="s">
        <v>80</v>
      </c>
      <c r="AK3">
        <v>1</v>
      </c>
      <c r="AL3">
        <v>360</v>
      </c>
      <c r="AM3">
        <v>386</v>
      </c>
      <c r="AN3">
        <v>25600</v>
      </c>
      <c r="AO3">
        <v>27700</v>
      </c>
      <c r="AP3">
        <f>AN3-AO3</f>
        <v>-2100</v>
      </c>
    </row>
    <row r="4" spans="1:42" x14ac:dyDescent="0.35">
      <c r="A4" t="s">
        <v>12</v>
      </c>
      <c r="B4" t="s">
        <v>17</v>
      </c>
      <c r="C4" t="s">
        <v>39</v>
      </c>
      <c r="D4" s="2">
        <v>35</v>
      </c>
      <c r="E4">
        <v>80</v>
      </c>
      <c r="F4">
        <v>80</v>
      </c>
      <c r="G4">
        <v>80</v>
      </c>
      <c r="H4">
        <v>80</v>
      </c>
      <c r="I4">
        <v>80</v>
      </c>
      <c r="J4">
        <v>80</v>
      </c>
      <c r="K4">
        <v>80</v>
      </c>
      <c r="L4">
        <v>80</v>
      </c>
      <c r="M4">
        <v>80</v>
      </c>
      <c r="N4">
        <v>90</v>
      </c>
      <c r="O4">
        <v>90</v>
      </c>
      <c r="P4">
        <v>90</v>
      </c>
      <c r="Q4" s="3">
        <f t="shared" si="0"/>
        <v>2800</v>
      </c>
      <c r="R4" s="3">
        <f t="shared" si="0"/>
        <v>2800</v>
      </c>
      <c r="S4" s="3">
        <f t="shared" si="0"/>
        <v>2800</v>
      </c>
      <c r="T4" s="3">
        <f t="shared" si="0"/>
        <v>2800</v>
      </c>
      <c r="U4" s="3">
        <f t="shared" si="0"/>
        <v>2800</v>
      </c>
      <c r="V4" s="3">
        <f t="shared" si="0"/>
        <v>2800</v>
      </c>
      <c r="W4" s="3">
        <f t="shared" si="1"/>
        <v>2800</v>
      </c>
      <c r="X4" s="3">
        <f t="shared" si="1"/>
        <v>2800</v>
      </c>
      <c r="Y4" s="3">
        <f t="shared" si="1"/>
        <v>2800</v>
      </c>
      <c r="Z4" s="3">
        <f t="shared" si="1"/>
        <v>3150</v>
      </c>
      <c r="AA4" s="3">
        <f t="shared" si="1"/>
        <v>3150</v>
      </c>
      <c r="AB4" s="3">
        <f t="shared" si="1"/>
        <v>3150</v>
      </c>
      <c r="AC4" s="5">
        <f t="shared" ref="AC4:AC55" si="2">SUM(E4:J4)</f>
        <v>480</v>
      </c>
      <c r="AD4" s="5">
        <f t="shared" ref="AD4:AD55" si="3">SUM(K4:P4)</f>
        <v>510</v>
      </c>
      <c r="AE4" s="5">
        <f t="shared" ref="AE4:AE55" si="4">SUM(Q4:V4)</f>
        <v>16800</v>
      </c>
      <c r="AF4" s="5">
        <f t="shared" ref="AF4:AF55" si="5">SUM(W4:AB4)</f>
        <v>17850</v>
      </c>
      <c r="AG4" s="5">
        <f t="shared" ref="AG4:AG55" si="6">AE4-AF4</f>
        <v>-1050</v>
      </c>
      <c r="AH4">
        <f t="shared" ref="AH4:AH55" si="7">AF4/AE4</f>
        <v>1.0625</v>
      </c>
      <c r="AI4" s="5">
        <f t="shared" ref="AI4:AI55" si="8">AC4-AD4</f>
        <v>-30</v>
      </c>
      <c r="AJ4" t="s">
        <v>81</v>
      </c>
      <c r="AK4">
        <v>1</v>
      </c>
      <c r="AL4">
        <v>225</v>
      </c>
      <c r="AM4">
        <v>268</v>
      </c>
      <c r="AN4">
        <v>21850</v>
      </c>
      <c r="AO4">
        <v>26100</v>
      </c>
      <c r="AP4">
        <f t="shared" ref="AP4:AP32" si="9">AN4-AO4</f>
        <v>-4250</v>
      </c>
    </row>
    <row r="5" spans="1:42" x14ac:dyDescent="0.35">
      <c r="A5" t="s">
        <v>12</v>
      </c>
      <c r="B5" t="s">
        <v>17</v>
      </c>
      <c r="C5" t="s">
        <v>40</v>
      </c>
      <c r="D5" s="2">
        <v>75</v>
      </c>
      <c r="E5">
        <v>40</v>
      </c>
      <c r="F5">
        <v>40</v>
      </c>
      <c r="G5">
        <v>40</v>
      </c>
      <c r="H5">
        <v>40</v>
      </c>
      <c r="I5">
        <v>40</v>
      </c>
      <c r="J5">
        <v>40</v>
      </c>
      <c r="K5">
        <v>40</v>
      </c>
      <c r="L5">
        <v>40</v>
      </c>
      <c r="M5">
        <v>40</v>
      </c>
      <c r="N5">
        <v>40</v>
      </c>
      <c r="O5">
        <v>40</v>
      </c>
      <c r="P5">
        <v>40</v>
      </c>
      <c r="Q5" s="3">
        <f t="shared" si="0"/>
        <v>3000</v>
      </c>
      <c r="R5" s="3">
        <f t="shared" si="0"/>
        <v>3000</v>
      </c>
      <c r="S5" s="3">
        <f t="shared" si="0"/>
        <v>3000</v>
      </c>
      <c r="T5" s="3">
        <f t="shared" si="0"/>
        <v>3000</v>
      </c>
      <c r="U5" s="3">
        <f t="shared" si="0"/>
        <v>3000</v>
      </c>
      <c r="V5" s="3">
        <f t="shared" si="0"/>
        <v>3000</v>
      </c>
      <c r="W5" s="3">
        <f t="shared" si="1"/>
        <v>3000</v>
      </c>
      <c r="X5" s="3">
        <f t="shared" si="1"/>
        <v>3000</v>
      </c>
      <c r="Y5" s="3">
        <f t="shared" si="1"/>
        <v>3000</v>
      </c>
      <c r="Z5" s="3">
        <f t="shared" si="1"/>
        <v>3000</v>
      </c>
      <c r="AA5" s="3">
        <f t="shared" si="1"/>
        <v>3000</v>
      </c>
      <c r="AB5" s="3">
        <f t="shared" si="1"/>
        <v>3000</v>
      </c>
      <c r="AC5" s="5">
        <f t="shared" si="2"/>
        <v>240</v>
      </c>
      <c r="AD5" s="5">
        <f t="shared" si="3"/>
        <v>240</v>
      </c>
      <c r="AE5" s="5">
        <f t="shared" si="4"/>
        <v>18000</v>
      </c>
      <c r="AF5" s="5">
        <f t="shared" si="5"/>
        <v>18000</v>
      </c>
      <c r="AG5" s="5">
        <f t="shared" si="6"/>
        <v>0</v>
      </c>
      <c r="AH5">
        <f t="shared" si="7"/>
        <v>1</v>
      </c>
      <c r="AI5" s="5">
        <f t="shared" si="8"/>
        <v>0</v>
      </c>
      <c r="AJ5" t="s">
        <v>82</v>
      </c>
      <c r="AK5">
        <v>1</v>
      </c>
      <c r="AL5">
        <v>460</v>
      </c>
      <c r="AM5">
        <v>538</v>
      </c>
      <c r="AN5">
        <v>36000</v>
      </c>
      <c r="AO5">
        <v>44050</v>
      </c>
      <c r="AP5">
        <f t="shared" si="9"/>
        <v>-8050</v>
      </c>
    </row>
    <row r="6" spans="1:42" x14ac:dyDescent="0.35">
      <c r="A6" t="s">
        <v>12</v>
      </c>
      <c r="B6" t="s">
        <v>17</v>
      </c>
      <c r="C6" t="s">
        <v>41</v>
      </c>
      <c r="D6" s="2">
        <v>105</v>
      </c>
      <c r="E6">
        <v>20</v>
      </c>
      <c r="F6">
        <v>20</v>
      </c>
      <c r="G6">
        <v>20</v>
      </c>
      <c r="H6">
        <v>20</v>
      </c>
      <c r="I6">
        <v>20</v>
      </c>
      <c r="J6">
        <v>20</v>
      </c>
      <c r="K6">
        <v>20</v>
      </c>
      <c r="L6">
        <v>20</v>
      </c>
      <c r="M6">
        <v>20</v>
      </c>
      <c r="N6">
        <v>20</v>
      </c>
      <c r="O6">
        <v>20</v>
      </c>
      <c r="P6">
        <v>20</v>
      </c>
      <c r="Q6" s="3">
        <f t="shared" si="0"/>
        <v>2100</v>
      </c>
      <c r="R6" s="3">
        <f t="shared" si="0"/>
        <v>2100</v>
      </c>
      <c r="S6" s="3">
        <f t="shared" si="0"/>
        <v>2100</v>
      </c>
      <c r="T6" s="3">
        <f t="shared" si="0"/>
        <v>2100</v>
      </c>
      <c r="U6" s="3">
        <f t="shared" si="0"/>
        <v>2100</v>
      </c>
      <c r="V6" s="3">
        <f t="shared" si="0"/>
        <v>2100</v>
      </c>
      <c r="W6" s="3">
        <f t="shared" si="1"/>
        <v>2100</v>
      </c>
      <c r="X6" s="3">
        <f t="shared" si="1"/>
        <v>2100</v>
      </c>
      <c r="Y6" s="3">
        <f t="shared" si="1"/>
        <v>2100</v>
      </c>
      <c r="Z6" s="3">
        <f t="shared" si="1"/>
        <v>2100</v>
      </c>
      <c r="AA6" s="3">
        <f t="shared" si="1"/>
        <v>2100</v>
      </c>
      <c r="AB6" s="3">
        <f t="shared" si="1"/>
        <v>2100</v>
      </c>
      <c r="AC6" s="5">
        <f t="shared" si="2"/>
        <v>120</v>
      </c>
      <c r="AD6" s="5">
        <f t="shared" si="3"/>
        <v>120</v>
      </c>
      <c r="AE6" s="5">
        <f t="shared" si="4"/>
        <v>12600</v>
      </c>
      <c r="AF6" s="5">
        <f t="shared" si="5"/>
        <v>12600</v>
      </c>
      <c r="AG6" s="5">
        <f t="shared" si="6"/>
        <v>0</v>
      </c>
      <c r="AH6">
        <f t="shared" si="7"/>
        <v>1</v>
      </c>
      <c r="AI6" s="5">
        <f t="shared" si="8"/>
        <v>0</v>
      </c>
      <c r="AJ6" t="s">
        <v>83</v>
      </c>
      <c r="AK6">
        <v>1</v>
      </c>
      <c r="AL6">
        <v>550</v>
      </c>
      <c r="AM6">
        <v>526</v>
      </c>
      <c r="AN6">
        <v>48500</v>
      </c>
      <c r="AO6">
        <v>45250</v>
      </c>
      <c r="AP6">
        <f t="shared" si="9"/>
        <v>3250</v>
      </c>
    </row>
    <row r="7" spans="1:42" x14ac:dyDescent="0.35">
      <c r="A7" t="s">
        <v>12</v>
      </c>
      <c r="B7" t="s">
        <v>17</v>
      </c>
      <c r="C7" t="s">
        <v>42</v>
      </c>
      <c r="D7" s="2">
        <v>90</v>
      </c>
      <c r="E7">
        <v>140</v>
      </c>
      <c r="F7">
        <v>140</v>
      </c>
      <c r="G7">
        <v>140</v>
      </c>
      <c r="H7">
        <v>140</v>
      </c>
      <c r="I7">
        <v>140</v>
      </c>
      <c r="J7">
        <v>140</v>
      </c>
      <c r="K7">
        <v>160</v>
      </c>
      <c r="L7">
        <v>160</v>
      </c>
      <c r="M7">
        <v>160</v>
      </c>
      <c r="N7">
        <v>160</v>
      </c>
      <c r="O7">
        <v>160</v>
      </c>
      <c r="P7">
        <v>160</v>
      </c>
      <c r="Q7" s="3">
        <f t="shared" si="0"/>
        <v>12600</v>
      </c>
      <c r="R7" s="3">
        <f t="shared" si="0"/>
        <v>12600</v>
      </c>
      <c r="S7" s="3">
        <f t="shared" si="0"/>
        <v>12600</v>
      </c>
      <c r="T7" s="3">
        <f t="shared" si="0"/>
        <v>12600</v>
      </c>
      <c r="U7" s="3">
        <f t="shared" si="0"/>
        <v>12600</v>
      </c>
      <c r="V7" s="3">
        <f t="shared" si="0"/>
        <v>12600</v>
      </c>
      <c r="W7" s="3">
        <f t="shared" si="1"/>
        <v>14400</v>
      </c>
      <c r="X7" s="3">
        <f t="shared" si="1"/>
        <v>14400</v>
      </c>
      <c r="Y7" s="3">
        <f t="shared" si="1"/>
        <v>14400</v>
      </c>
      <c r="Z7" s="3">
        <f t="shared" si="1"/>
        <v>14400</v>
      </c>
      <c r="AA7" s="3">
        <f t="shared" si="1"/>
        <v>14400</v>
      </c>
      <c r="AB7" s="3">
        <f t="shared" si="1"/>
        <v>14400</v>
      </c>
      <c r="AC7" s="5">
        <f t="shared" si="2"/>
        <v>840</v>
      </c>
      <c r="AD7" s="5">
        <f t="shared" si="3"/>
        <v>960</v>
      </c>
      <c r="AE7" s="5">
        <f t="shared" si="4"/>
        <v>75600</v>
      </c>
      <c r="AF7" s="5">
        <f t="shared" si="5"/>
        <v>86400</v>
      </c>
      <c r="AG7" s="5">
        <f t="shared" si="6"/>
        <v>-10800</v>
      </c>
      <c r="AH7">
        <f t="shared" si="7"/>
        <v>1.1428571428571428</v>
      </c>
      <c r="AI7" s="5">
        <f t="shared" si="8"/>
        <v>-120</v>
      </c>
      <c r="AJ7" t="s">
        <v>84</v>
      </c>
      <c r="AK7">
        <v>1</v>
      </c>
      <c r="AL7">
        <v>430</v>
      </c>
      <c r="AM7">
        <v>369</v>
      </c>
      <c r="AN7">
        <v>29080</v>
      </c>
      <c r="AO7">
        <v>23040</v>
      </c>
      <c r="AP7">
        <f t="shared" si="9"/>
        <v>6040</v>
      </c>
    </row>
    <row r="8" spans="1:42" x14ac:dyDescent="0.35">
      <c r="A8" t="s">
        <v>12</v>
      </c>
      <c r="B8" t="s">
        <v>18</v>
      </c>
      <c r="C8" t="s">
        <v>34</v>
      </c>
      <c r="D8" s="2">
        <v>50</v>
      </c>
      <c r="E8">
        <v>10</v>
      </c>
      <c r="F8">
        <v>10</v>
      </c>
      <c r="G8">
        <v>10</v>
      </c>
      <c r="H8">
        <v>10</v>
      </c>
      <c r="I8">
        <v>10</v>
      </c>
      <c r="J8">
        <v>10</v>
      </c>
      <c r="K8">
        <v>10</v>
      </c>
      <c r="L8">
        <v>10</v>
      </c>
      <c r="M8">
        <v>10</v>
      </c>
      <c r="N8">
        <v>10</v>
      </c>
      <c r="O8">
        <v>10</v>
      </c>
      <c r="P8">
        <v>10</v>
      </c>
      <c r="Q8" s="3">
        <f t="shared" si="0"/>
        <v>500</v>
      </c>
      <c r="R8" s="3">
        <f t="shared" si="0"/>
        <v>500</v>
      </c>
      <c r="S8" s="3">
        <f t="shared" si="0"/>
        <v>500</v>
      </c>
      <c r="T8" s="3">
        <f t="shared" si="0"/>
        <v>500</v>
      </c>
      <c r="U8" s="3">
        <f t="shared" si="0"/>
        <v>500</v>
      </c>
      <c r="V8" s="3">
        <f t="shared" si="0"/>
        <v>500</v>
      </c>
      <c r="W8" s="3">
        <f t="shared" si="1"/>
        <v>500</v>
      </c>
      <c r="X8" s="3">
        <f t="shared" si="1"/>
        <v>500</v>
      </c>
      <c r="Y8" s="3">
        <f t="shared" si="1"/>
        <v>500</v>
      </c>
      <c r="Z8" s="3">
        <f t="shared" si="1"/>
        <v>500</v>
      </c>
      <c r="AA8" s="3">
        <f t="shared" si="1"/>
        <v>500</v>
      </c>
      <c r="AB8" s="3">
        <f t="shared" si="1"/>
        <v>500</v>
      </c>
      <c r="AC8" s="5">
        <f t="shared" si="2"/>
        <v>60</v>
      </c>
      <c r="AD8" s="5">
        <f t="shared" si="3"/>
        <v>60</v>
      </c>
      <c r="AE8" s="5">
        <f t="shared" si="4"/>
        <v>3000</v>
      </c>
      <c r="AF8" s="5">
        <f t="shared" si="5"/>
        <v>3000</v>
      </c>
      <c r="AG8" s="5">
        <f t="shared" si="6"/>
        <v>0</v>
      </c>
      <c r="AH8">
        <f t="shared" si="7"/>
        <v>1</v>
      </c>
      <c r="AI8" s="5">
        <f t="shared" si="8"/>
        <v>0</v>
      </c>
      <c r="AJ8" t="s">
        <v>80</v>
      </c>
      <c r="AK8">
        <v>2</v>
      </c>
      <c r="AL8">
        <v>360</v>
      </c>
      <c r="AM8">
        <v>386</v>
      </c>
      <c r="AN8">
        <v>25600</v>
      </c>
      <c r="AO8">
        <v>27700</v>
      </c>
      <c r="AP8">
        <f t="shared" si="9"/>
        <v>-2100</v>
      </c>
    </row>
    <row r="9" spans="1:42" x14ac:dyDescent="0.35">
      <c r="A9" t="s">
        <v>12</v>
      </c>
      <c r="B9" t="s">
        <v>18</v>
      </c>
      <c r="C9" t="s">
        <v>41</v>
      </c>
      <c r="D9" s="2">
        <v>105</v>
      </c>
      <c r="E9">
        <v>20</v>
      </c>
      <c r="F9">
        <v>20</v>
      </c>
      <c r="G9">
        <v>20</v>
      </c>
      <c r="H9">
        <v>20</v>
      </c>
      <c r="I9">
        <v>20</v>
      </c>
      <c r="J9">
        <v>20</v>
      </c>
      <c r="K9">
        <v>20</v>
      </c>
      <c r="L9">
        <v>20</v>
      </c>
      <c r="M9">
        <v>20</v>
      </c>
      <c r="N9">
        <v>20</v>
      </c>
      <c r="O9">
        <v>20</v>
      </c>
      <c r="P9">
        <v>20</v>
      </c>
      <c r="Q9" s="3">
        <f t="shared" si="0"/>
        <v>2100</v>
      </c>
      <c r="R9" s="3">
        <f t="shared" si="0"/>
        <v>2100</v>
      </c>
      <c r="S9" s="3">
        <f t="shared" si="0"/>
        <v>2100</v>
      </c>
      <c r="T9" s="3">
        <f t="shared" si="0"/>
        <v>2100</v>
      </c>
      <c r="U9" s="3">
        <f t="shared" si="0"/>
        <v>2100</v>
      </c>
      <c r="V9" s="3">
        <f t="shared" si="0"/>
        <v>2100</v>
      </c>
      <c r="W9" s="3">
        <f t="shared" si="1"/>
        <v>2100</v>
      </c>
      <c r="X9" s="3">
        <f t="shared" si="1"/>
        <v>2100</v>
      </c>
      <c r="Y9" s="3">
        <f t="shared" si="1"/>
        <v>2100</v>
      </c>
      <c r="Z9" s="3">
        <f t="shared" si="1"/>
        <v>2100</v>
      </c>
      <c r="AA9" s="3">
        <f t="shared" si="1"/>
        <v>2100</v>
      </c>
      <c r="AB9" s="3">
        <f t="shared" si="1"/>
        <v>2100</v>
      </c>
      <c r="AC9" s="5">
        <f t="shared" si="2"/>
        <v>120</v>
      </c>
      <c r="AD9" s="5">
        <f t="shared" si="3"/>
        <v>120</v>
      </c>
      <c r="AE9" s="5">
        <f t="shared" si="4"/>
        <v>12600</v>
      </c>
      <c r="AF9" s="5">
        <f t="shared" si="5"/>
        <v>12600</v>
      </c>
      <c r="AG9" s="5">
        <f t="shared" si="6"/>
        <v>0</v>
      </c>
      <c r="AH9">
        <f t="shared" si="7"/>
        <v>1</v>
      </c>
      <c r="AI9" s="5">
        <f t="shared" si="8"/>
        <v>0</v>
      </c>
      <c r="AJ9" t="s">
        <v>81</v>
      </c>
      <c r="AK9">
        <v>2</v>
      </c>
      <c r="AL9">
        <v>225</v>
      </c>
      <c r="AM9">
        <v>268</v>
      </c>
      <c r="AN9">
        <v>21850</v>
      </c>
      <c r="AO9">
        <v>26100</v>
      </c>
      <c r="AP9">
        <f t="shared" si="9"/>
        <v>-4250</v>
      </c>
    </row>
    <row r="10" spans="1:42" x14ac:dyDescent="0.35">
      <c r="A10" t="s">
        <v>12</v>
      </c>
      <c r="B10" t="s">
        <v>19</v>
      </c>
      <c r="C10" t="s">
        <v>34</v>
      </c>
      <c r="D10" s="2">
        <v>50</v>
      </c>
      <c r="E10">
        <v>20</v>
      </c>
      <c r="F10">
        <v>20</v>
      </c>
      <c r="G10">
        <v>20</v>
      </c>
      <c r="H10">
        <v>20</v>
      </c>
      <c r="I10">
        <v>20</v>
      </c>
      <c r="J10">
        <v>20</v>
      </c>
      <c r="K10">
        <v>20</v>
      </c>
      <c r="L10">
        <v>20</v>
      </c>
      <c r="M10">
        <v>20</v>
      </c>
      <c r="N10">
        <v>20</v>
      </c>
      <c r="O10">
        <v>20</v>
      </c>
      <c r="P10">
        <v>20</v>
      </c>
      <c r="Q10" s="3">
        <f t="shared" si="0"/>
        <v>1000</v>
      </c>
      <c r="R10" s="3">
        <f t="shared" si="0"/>
        <v>1000</v>
      </c>
      <c r="S10" s="3">
        <f t="shared" si="0"/>
        <v>1000</v>
      </c>
      <c r="T10" s="3">
        <f t="shared" si="0"/>
        <v>1000</v>
      </c>
      <c r="U10" s="3">
        <f t="shared" si="0"/>
        <v>1000</v>
      </c>
      <c r="V10" s="3">
        <f t="shared" si="0"/>
        <v>1000</v>
      </c>
      <c r="W10" s="3">
        <f t="shared" si="1"/>
        <v>1000</v>
      </c>
      <c r="X10" s="3">
        <f t="shared" si="1"/>
        <v>1000</v>
      </c>
      <c r="Y10" s="3">
        <f t="shared" si="1"/>
        <v>1000</v>
      </c>
      <c r="Z10" s="3">
        <f t="shared" si="1"/>
        <v>1000</v>
      </c>
      <c r="AA10" s="3">
        <f t="shared" si="1"/>
        <v>1000</v>
      </c>
      <c r="AB10" s="3">
        <f t="shared" si="1"/>
        <v>1000</v>
      </c>
      <c r="AC10" s="5">
        <f t="shared" si="2"/>
        <v>120</v>
      </c>
      <c r="AD10" s="5">
        <f t="shared" si="3"/>
        <v>120</v>
      </c>
      <c r="AE10" s="5">
        <f t="shared" si="4"/>
        <v>6000</v>
      </c>
      <c r="AF10" s="5">
        <f t="shared" si="5"/>
        <v>6000</v>
      </c>
      <c r="AG10" s="5">
        <f t="shared" si="6"/>
        <v>0</v>
      </c>
      <c r="AH10">
        <f t="shared" si="7"/>
        <v>1</v>
      </c>
      <c r="AI10" s="5">
        <f t="shared" si="8"/>
        <v>0</v>
      </c>
      <c r="AJ10" t="s">
        <v>82</v>
      </c>
      <c r="AK10">
        <v>2</v>
      </c>
      <c r="AL10">
        <v>460</v>
      </c>
      <c r="AM10">
        <v>538</v>
      </c>
      <c r="AN10">
        <v>36000</v>
      </c>
      <c r="AO10">
        <v>44050</v>
      </c>
      <c r="AP10">
        <f t="shared" si="9"/>
        <v>-8050</v>
      </c>
    </row>
    <row r="11" spans="1:42" x14ac:dyDescent="0.35">
      <c r="A11" t="s">
        <v>12</v>
      </c>
      <c r="B11" t="s">
        <v>19</v>
      </c>
      <c r="C11" t="s">
        <v>47</v>
      </c>
      <c r="D11" s="2">
        <v>50</v>
      </c>
      <c r="E11">
        <v>10</v>
      </c>
      <c r="F11">
        <v>10</v>
      </c>
      <c r="G11">
        <v>10</v>
      </c>
      <c r="H11">
        <v>10</v>
      </c>
      <c r="I11">
        <v>10</v>
      </c>
      <c r="J11">
        <v>10</v>
      </c>
      <c r="K11">
        <v>12</v>
      </c>
      <c r="L11">
        <v>12</v>
      </c>
      <c r="M11">
        <v>12</v>
      </c>
      <c r="N11">
        <v>12</v>
      </c>
      <c r="O11">
        <v>12</v>
      </c>
      <c r="P11">
        <v>12</v>
      </c>
      <c r="Q11" s="3">
        <f t="shared" si="0"/>
        <v>500</v>
      </c>
      <c r="R11" s="3">
        <f t="shared" si="0"/>
        <v>500</v>
      </c>
      <c r="S11" s="3">
        <f t="shared" si="0"/>
        <v>500</v>
      </c>
      <c r="T11" s="3">
        <f t="shared" si="0"/>
        <v>500</v>
      </c>
      <c r="U11" s="3">
        <f t="shared" si="0"/>
        <v>500</v>
      </c>
      <c r="V11" s="3">
        <f t="shared" si="0"/>
        <v>500</v>
      </c>
      <c r="W11" s="3">
        <f t="shared" si="1"/>
        <v>600</v>
      </c>
      <c r="X11" s="3">
        <f t="shared" si="1"/>
        <v>600</v>
      </c>
      <c r="Y11" s="3">
        <f t="shared" si="1"/>
        <v>600</v>
      </c>
      <c r="Z11" s="3">
        <f t="shared" si="1"/>
        <v>600</v>
      </c>
      <c r="AA11" s="3">
        <f t="shared" si="1"/>
        <v>600</v>
      </c>
      <c r="AB11" s="3">
        <f t="shared" si="1"/>
        <v>600</v>
      </c>
      <c r="AC11" s="5">
        <f t="shared" si="2"/>
        <v>60</v>
      </c>
      <c r="AD11" s="5">
        <f t="shared" si="3"/>
        <v>72</v>
      </c>
      <c r="AE11" s="5">
        <f t="shared" si="4"/>
        <v>3000</v>
      </c>
      <c r="AF11" s="5">
        <f t="shared" si="5"/>
        <v>3600</v>
      </c>
      <c r="AG11" s="5">
        <f t="shared" si="6"/>
        <v>-600</v>
      </c>
      <c r="AH11">
        <f t="shared" si="7"/>
        <v>1.2</v>
      </c>
      <c r="AI11" s="5">
        <f t="shared" si="8"/>
        <v>-12</v>
      </c>
      <c r="AJ11" t="s">
        <v>83</v>
      </c>
      <c r="AK11">
        <v>2</v>
      </c>
      <c r="AL11">
        <v>550</v>
      </c>
      <c r="AM11">
        <v>526</v>
      </c>
      <c r="AN11">
        <v>48500</v>
      </c>
      <c r="AO11">
        <v>45250</v>
      </c>
      <c r="AP11">
        <f t="shared" si="9"/>
        <v>3250</v>
      </c>
    </row>
    <row r="12" spans="1:42" x14ac:dyDescent="0.35">
      <c r="A12" t="s">
        <v>13</v>
      </c>
      <c r="B12" t="s">
        <v>20</v>
      </c>
      <c r="C12" t="s">
        <v>34</v>
      </c>
      <c r="D12" s="2">
        <v>50</v>
      </c>
      <c r="E12">
        <v>20</v>
      </c>
      <c r="F12">
        <v>20</v>
      </c>
      <c r="G12">
        <v>20</v>
      </c>
      <c r="H12">
        <v>20</v>
      </c>
      <c r="I12">
        <v>20</v>
      </c>
      <c r="J12">
        <v>20</v>
      </c>
      <c r="K12">
        <v>24</v>
      </c>
      <c r="L12">
        <v>24</v>
      </c>
      <c r="M12">
        <v>24</v>
      </c>
      <c r="N12">
        <v>24</v>
      </c>
      <c r="O12">
        <v>24</v>
      </c>
      <c r="P12">
        <v>24</v>
      </c>
      <c r="Q12" s="3">
        <f t="shared" si="0"/>
        <v>1000</v>
      </c>
      <c r="R12" s="3">
        <f t="shared" si="0"/>
        <v>1000</v>
      </c>
      <c r="S12" s="3">
        <f t="shared" si="0"/>
        <v>1000</v>
      </c>
      <c r="T12" s="3">
        <f t="shared" si="0"/>
        <v>1000</v>
      </c>
      <c r="U12" s="3">
        <f t="shared" si="0"/>
        <v>1000</v>
      </c>
      <c r="V12" s="3">
        <f t="shared" si="0"/>
        <v>1000</v>
      </c>
      <c r="W12" s="3">
        <f t="shared" si="1"/>
        <v>1200</v>
      </c>
      <c r="X12" s="3">
        <f t="shared" si="1"/>
        <v>1200</v>
      </c>
      <c r="Y12" s="3">
        <f t="shared" si="1"/>
        <v>1200</v>
      </c>
      <c r="Z12" s="3">
        <f t="shared" si="1"/>
        <v>1200</v>
      </c>
      <c r="AA12" s="3">
        <f t="shared" si="1"/>
        <v>1200</v>
      </c>
      <c r="AB12" s="3">
        <f t="shared" si="1"/>
        <v>1200</v>
      </c>
      <c r="AC12" s="5">
        <f t="shared" si="2"/>
        <v>120</v>
      </c>
      <c r="AD12" s="5">
        <f t="shared" si="3"/>
        <v>144</v>
      </c>
      <c r="AE12" s="5">
        <f t="shared" si="4"/>
        <v>6000</v>
      </c>
      <c r="AF12" s="5">
        <f t="shared" si="5"/>
        <v>7200</v>
      </c>
      <c r="AG12" s="5">
        <f t="shared" si="6"/>
        <v>-1200</v>
      </c>
      <c r="AH12">
        <f t="shared" si="7"/>
        <v>1.2</v>
      </c>
      <c r="AI12" s="5">
        <f t="shared" si="8"/>
        <v>-24</v>
      </c>
      <c r="AJ12" t="s">
        <v>84</v>
      </c>
      <c r="AK12">
        <v>2</v>
      </c>
      <c r="AL12">
        <v>430</v>
      </c>
      <c r="AM12">
        <v>369</v>
      </c>
      <c r="AN12">
        <v>29080</v>
      </c>
      <c r="AO12">
        <v>23040</v>
      </c>
      <c r="AP12">
        <f t="shared" si="9"/>
        <v>6040</v>
      </c>
    </row>
    <row r="13" spans="1:42" x14ac:dyDescent="0.35">
      <c r="A13" t="s">
        <v>13</v>
      </c>
      <c r="B13" t="s">
        <v>20</v>
      </c>
      <c r="C13" t="s">
        <v>40</v>
      </c>
      <c r="D13" s="2">
        <v>75</v>
      </c>
      <c r="E13">
        <v>40</v>
      </c>
      <c r="F13">
        <v>40</v>
      </c>
      <c r="G13">
        <v>40</v>
      </c>
      <c r="H13">
        <v>40</v>
      </c>
      <c r="I13">
        <v>40</v>
      </c>
      <c r="J13">
        <v>40</v>
      </c>
      <c r="K13">
        <v>50</v>
      </c>
      <c r="L13">
        <v>50</v>
      </c>
      <c r="M13">
        <v>50</v>
      </c>
      <c r="N13">
        <v>50</v>
      </c>
      <c r="O13">
        <v>50</v>
      </c>
      <c r="P13">
        <v>50</v>
      </c>
      <c r="Q13" s="3">
        <f t="shared" si="0"/>
        <v>3000</v>
      </c>
      <c r="R13" s="3">
        <f t="shared" si="0"/>
        <v>3000</v>
      </c>
      <c r="S13" s="3">
        <f t="shared" si="0"/>
        <v>3000</v>
      </c>
      <c r="T13" s="3">
        <f t="shared" si="0"/>
        <v>3000</v>
      </c>
      <c r="U13" s="3">
        <f t="shared" si="0"/>
        <v>3000</v>
      </c>
      <c r="V13" s="3">
        <f t="shared" si="0"/>
        <v>3000</v>
      </c>
      <c r="W13" s="3">
        <f t="shared" si="1"/>
        <v>3750</v>
      </c>
      <c r="X13" s="3">
        <f t="shared" si="1"/>
        <v>3750</v>
      </c>
      <c r="Y13" s="3">
        <f t="shared" si="1"/>
        <v>3750</v>
      </c>
      <c r="Z13" s="3">
        <f t="shared" si="1"/>
        <v>3750</v>
      </c>
      <c r="AA13" s="3">
        <f t="shared" si="1"/>
        <v>3750</v>
      </c>
      <c r="AB13" s="3">
        <f t="shared" si="1"/>
        <v>3750</v>
      </c>
      <c r="AC13" s="5">
        <f t="shared" si="2"/>
        <v>240</v>
      </c>
      <c r="AD13" s="5">
        <f t="shared" si="3"/>
        <v>300</v>
      </c>
      <c r="AE13" s="5">
        <f t="shared" si="4"/>
        <v>18000</v>
      </c>
      <c r="AF13" s="5">
        <f t="shared" si="5"/>
        <v>22500</v>
      </c>
      <c r="AG13" s="5">
        <f t="shared" si="6"/>
        <v>-4500</v>
      </c>
      <c r="AH13">
        <f t="shared" si="7"/>
        <v>1.25</v>
      </c>
      <c r="AI13" s="5">
        <f t="shared" si="8"/>
        <v>-60</v>
      </c>
      <c r="AJ13" t="s">
        <v>80</v>
      </c>
      <c r="AK13">
        <v>3</v>
      </c>
      <c r="AL13">
        <v>360</v>
      </c>
      <c r="AM13">
        <v>386</v>
      </c>
      <c r="AN13">
        <v>25600</v>
      </c>
      <c r="AO13">
        <v>27700</v>
      </c>
      <c r="AP13">
        <f t="shared" si="9"/>
        <v>-2100</v>
      </c>
    </row>
    <row r="14" spans="1:42" x14ac:dyDescent="0.35">
      <c r="A14" t="s">
        <v>13</v>
      </c>
      <c r="B14" t="s">
        <v>20</v>
      </c>
      <c r="C14" t="s">
        <v>47</v>
      </c>
      <c r="D14" s="2">
        <v>50</v>
      </c>
      <c r="E14">
        <v>10</v>
      </c>
      <c r="F14">
        <v>10</v>
      </c>
      <c r="G14">
        <v>10</v>
      </c>
      <c r="H14">
        <v>10</v>
      </c>
      <c r="I14">
        <v>10</v>
      </c>
      <c r="J14">
        <v>10</v>
      </c>
      <c r="K14">
        <v>12</v>
      </c>
      <c r="L14">
        <v>12</v>
      </c>
      <c r="M14">
        <v>12</v>
      </c>
      <c r="N14">
        <v>12</v>
      </c>
      <c r="O14">
        <v>12</v>
      </c>
      <c r="P14">
        <v>12</v>
      </c>
      <c r="Q14" s="3">
        <f t="shared" si="0"/>
        <v>500</v>
      </c>
      <c r="R14" s="3">
        <f t="shared" si="0"/>
        <v>500</v>
      </c>
      <c r="S14" s="3">
        <f t="shared" si="0"/>
        <v>500</v>
      </c>
      <c r="T14" s="3">
        <f t="shared" si="0"/>
        <v>500</v>
      </c>
      <c r="U14" s="3">
        <f t="shared" si="0"/>
        <v>500</v>
      </c>
      <c r="V14" s="3">
        <f t="shared" si="0"/>
        <v>500</v>
      </c>
      <c r="W14" s="3">
        <f t="shared" si="1"/>
        <v>600</v>
      </c>
      <c r="X14" s="3">
        <f t="shared" si="1"/>
        <v>600</v>
      </c>
      <c r="Y14" s="3">
        <f t="shared" si="1"/>
        <v>600</v>
      </c>
      <c r="Z14" s="3">
        <f t="shared" si="1"/>
        <v>600</v>
      </c>
      <c r="AA14" s="3">
        <f t="shared" si="1"/>
        <v>600</v>
      </c>
      <c r="AB14" s="3">
        <f t="shared" si="1"/>
        <v>600</v>
      </c>
      <c r="AC14" s="5">
        <f t="shared" si="2"/>
        <v>60</v>
      </c>
      <c r="AD14" s="5">
        <f t="shared" si="3"/>
        <v>72</v>
      </c>
      <c r="AE14" s="5">
        <f t="shared" si="4"/>
        <v>3000</v>
      </c>
      <c r="AF14" s="5">
        <f t="shared" si="5"/>
        <v>3600</v>
      </c>
      <c r="AG14" s="5">
        <f t="shared" si="6"/>
        <v>-600</v>
      </c>
      <c r="AH14">
        <f t="shared" si="7"/>
        <v>1.2</v>
      </c>
      <c r="AI14" s="5">
        <f t="shared" si="8"/>
        <v>-12</v>
      </c>
      <c r="AJ14" t="s">
        <v>81</v>
      </c>
      <c r="AK14">
        <v>3</v>
      </c>
      <c r="AL14">
        <v>225</v>
      </c>
      <c r="AM14">
        <v>268</v>
      </c>
      <c r="AN14">
        <v>21850</v>
      </c>
      <c r="AO14">
        <v>26100</v>
      </c>
      <c r="AP14">
        <f t="shared" si="9"/>
        <v>-4250</v>
      </c>
    </row>
    <row r="15" spans="1:42" x14ac:dyDescent="0.35">
      <c r="A15" t="s">
        <v>13</v>
      </c>
      <c r="B15" t="s">
        <v>21</v>
      </c>
      <c r="C15" t="s">
        <v>34</v>
      </c>
      <c r="D15" s="2">
        <v>50</v>
      </c>
      <c r="E15">
        <v>5</v>
      </c>
      <c r="F15">
        <v>5</v>
      </c>
      <c r="G15">
        <v>5</v>
      </c>
      <c r="H15">
        <v>5</v>
      </c>
      <c r="I15">
        <v>5</v>
      </c>
      <c r="J15">
        <v>5</v>
      </c>
      <c r="K15">
        <v>5</v>
      </c>
      <c r="L15">
        <v>5</v>
      </c>
      <c r="M15">
        <v>5</v>
      </c>
      <c r="N15">
        <v>5</v>
      </c>
      <c r="O15">
        <v>5</v>
      </c>
      <c r="P15">
        <v>5</v>
      </c>
      <c r="Q15" s="3">
        <f t="shared" si="0"/>
        <v>250</v>
      </c>
      <c r="R15" s="3">
        <f t="shared" si="0"/>
        <v>250</v>
      </c>
      <c r="S15" s="3">
        <f t="shared" si="0"/>
        <v>250</v>
      </c>
      <c r="T15" s="3">
        <f t="shared" si="0"/>
        <v>250</v>
      </c>
      <c r="U15" s="3">
        <f t="shared" si="0"/>
        <v>250</v>
      </c>
      <c r="V15" s="3">
        <f t="shared" si="0"/>
        <v>250</v>
      </c>
      <c r="W15" s="3">
        <f t="shared" si="1"/>
        <v>250</v>
      </c>
      <c r="X15" s="3">
        <f t="shared" si="1"/>
        <v>250</v>
      </c>
      <c r="Y15" s="3">
        <f t="shared" si="1"/>
        <v>250</v>
      </c>
      <c r="Z15" s="3">
        <f t="shared" si="1"/>
        <v>250</v>
      </c>
      <c r="AA15" s="3">
        <f t="shared" si="1"/>
        <v>250</v>
      </c>
      <c r="AB15" s="3">
        <f t="shared" si="1"/>
        <v>250</v>
      </c>
      <c r="AC15" s="5">
        <f t="shared" si="2"/>
        <v>30</v>
      </c>
      <c r="AD15" s="5">
        <f t="shared" si="3"/>
        <v>30</v>
      </c>
      <c r="AE15" s="5">
        <f t="shared" si="4"/>
        <v>1500</v>
      </c>
      <c r="AF15" s="5">
        <f t="shared" si="5"/>
        <v>1500</v>
      </c>
      <c r="AG15" s="5">
        <f t="shared" si="6"/>
        <v>0</v>
      </c>
      <c r="AH15">
        <f t="shared" si="7"/>
        <v>1</v>
      </c>
      <c r="AI15" s="5">
        <f t="shared" si="8"/>
        <v>0</v>
      </c>
      <c r="AJ15" t="s">
        <v>82</v>
      </c>
      <c r="AK15">
        <v>3</v>
      </c>
      <c r="AL15">
        <v>460</v>
      </c>
      <c r="AM15">
        <v>538</v>
      </c>
      <c r="AN15">
        <v>36000</v>
      </c>
      <c r="AO15">
        <v>44050</v>
      </c>
      <c r="AP15">
        <f t="shared" si="9"/>
        <v>-8050</v>
      </c>
    </row>
    <row r="16" spans="1:42" x14ac:dyDescent="0.35">
      <c r="A16" t="s">
        <v>13</v>
      </c>
      <c r="B16" t="s">
        <v>21</v>
      </c>
      <c r="C16" t="s">
        <v>41</v>
      </c>
      <c r="D16" s="2">
        <v>105</v>
      </c>
      <c r="E16">
        <v>40</v>
      </c>
      <c r="F16">
        <v>40</v>
      </c>
      <c r="G16">
        <v>40</v>
      </c>
      <c r="H16">
        <v>40</v>
      </c>
      <c r="I16">
        <v>40</v>
      </c>
      <c r="J16">
        <v>40</v>
      </c>
      <c r="K16">
        <v>40</v>
      </c>
      <c r="L16">
        <v>40</v>
      </c>
      <c r="M16">
        <v>40</v>
      </c>
      <c r="N16">
        <v>40</v>
      </c>
      <c r="O16">
        <v>40</v>
      </c>
      <c r="P16">
        <v>40</v>
      </c>
      <c r="Q16" s="3">
        <f t="shared" si="0"/>
        <v>4200</v>
      </c>
      <c r="R16" s="3">
        <f t="shared" si="0"/>
        <v>4200</v>
      </c>
      <c r="S16" s="3">
        <f t="shared" si="0"/>
        <v>4200</v>
      </c>
      <c r="T16" s="3">
        <f t="shared" si="0"/>
        <v>4200</v>
      </c>
      <c r="U16" s="3">
        <f t="shared" si="0"/>
        <v>4200</v>
      </c>
      <c r="V16" s="3">
        <f t="shared" si="0"/>
        <v>4200</v>
      </c>
      <c r="W16" s="3">
        <f t="shared" si="1"/>
        <v>4200</v>
      </c>
      <c r="X16" s="3">
        <f t="shared" si="1"/>
        <v>4200</v>
      </c>
      <c r="Y16" s="3">
        <f t="shared" si="1"/>
        <v>4200</v>
      </c>
      <c r="Z16" s="3">
        <f t="shared" si="1"/>
        <v>4200</v>
      </c>
      <c r="AA16" s="3">
        <f t="shared" si="1"/>
        <v>4200</v>
      </c>
      <c r="AB16" s="3">
        <f t="shared" si="1"/>
        <v>4200</v>
      </c>
      <c r="AC16" s="5">
        <f t="shared" si="2"/>
        <v>240</v>
      </c>
      <c r="AD16" s="5">
        <f t="shared" si="3"/>
        <v>240</v>
      </c>
      <c r="AE16" s="5">
        <f t="shared" si="4"/>
        <v>25200</v>
      </c>
      <c r="AF16" s="5">
        <f t="shared" si="5"/>
        <v>25200</v>
      </c>
      <c r="AG16" s="5">
        <f t="shared" si="6"/>
        <v>0</v>
      </c>
      <c r="AH16">
        <f t="shared" si="7"/>
        <v>1</v>
      </c>
      <c r="AI16" s="5">
        <f t="shared" si="8"/>
        <v>0</v>
      </c>
      <c r="AJ16" t="s">
        <v>83</v>
      </c>
      <c r="AK16">
        <v>3</v>
      </c>
      <c r="AL16">
        <v>550</v>
      </c>
      <c r="AM16">
        <v>526</v>
      </c>
      <c r="AN16">
        <v>48500</v>
      </c>
      <c r="AO16">
        <v>45250</v>
      </c>
      <c r="AP16">
        <f t="shared" si="9"/>
        <v>3250</v>
      </c>
    </row>
    <row r="17" spans="1:42" x14ac:dyDescent="0.35">
      <c r="A17" t="s">
        <v>13</v>
      </c>
      <c r="B17" t="s">
        <v>21</v>
      </c>
      <c r="C17" t="s">
        <v>50</v>
      </c>
      <c r="D17" s="2">
        <v>140</v>
      </c>
      <c r="E17">
        <v>40</v>
      </c>
      <c r="F17">
        <v>40</v>
      </c>
      <c r="G17">
        <v>40</v>
      </c>
      <c r="H17">
        <v>40</v>
      </c>
      <c r="I17">
        <v>40</v>
      </c>
      <c r="J17">
        <v>40</v>
      </c>
      <c r="K17">
        <v>50</v>
      </c>
      <c r="L17">
        <v>50</v>
      </c>
      <c r="M17">
        <v>50</v>
      </c>
      <c r="N17">
        <v>25</v>
      </c>
      <c r="O17">
        <v>25</v>
      </c>
      <c r="P17">
        <v>25</v>
      </c>
      <c r="Q17" s="3">
        <f t="shared" si="0"/>
        <v>5600</v>
      </c>
      <c r="R17" s="3">
        <f t="shared" si="0"/>
        <v>5600</v>
      </c>
      <c r="S17" s="3">
        <f t="shared" si="0"/>
        <v>5600</v>
      </c>
      <c r="T17" s="3">
        <f t="shared" si="0"/>
        <v>5600</v>
      </c>
      <c r="U17" s="3">
        <f t="shared" si="0"/>
        <v>5600</v>
      </c>
      <c r="V17" s="3">
        <f t="shared" si="0"/>
        <v>5600</v>
      </c>
      <c r="W17" s="3">
        <f t="shared" si="1"/>
        <v>7000</v>
      </c>
      <c r="X17" s="3">
        <f t="shared" si="1"/>
        <v>7000</v>
      </c>
      <c r="Y17" s="3">
        <f t="shared" si="1"/>
        <v>7000</v>
      </c>
      <c r="Z17" s="3">
        <f t="shared" si="1"/>
        <v>3500</v>
      </c>
      <c r="AA17" s="3">
        <f t="shared" si="1"/>
        <v>3500</v>
      </c>
      <c r="AB17" s="3">
        <f t="shared" si="1"/>
        <v>3500</v>
      </c>
      <c r="AC17" s="5">
        <f t="shared" si="2"/>
        <v>240</v>
      </c>
      <c r="AD17" s="5">
        <f t="shared" si="3"/>
        <v>225</v>
      </c>
      <c r="AE17" s="5">
        <f t="shared" si="4"/>
        <v>33600</v>
      </c>
      <c r="AF17" s="5">
        <f t="shared" si="5"/>
        <v>31500</v>
      </c>
      <c r="AG17" s="5">
        <f t="shared" si="6"/>
        <v>2100</v>
      </c>
      <c r="AH17">
        <f t="shared" si="7"/>
        <v>0.9375</v>
      </c>
      <c r="AI17" s="5">
        <f t="shared" si="8"/>
        <v>15</v>
      </c>
      <c r="AJ17" t="s">
        <v>84</v>
      </c>
      <c r="AK17">
        <v>3</v>
      </c>
      <c r="AL17">
        <v>430</v>
      </c>
      <c r="AM17">
        <v>369</v>
      </c>
      <c r="AN17">
        <v>29080</v>
      </c>
      <c r="AO17">
        <v>23040</v>
      </c>
      <c r="AP17">
        <f t="shared" si="9"/>
        <v>6040</v>
      </c>
    </row>
    <row r="18" spans="1:42" x14ac:dyDescent="0.35">
      <c r="A18" t="s">
        <v>13</v>
      </c>
      <c r="B18" t="s">
        <v>22</v>
      </c>
      <c r="C18" t="s">
        <v>47</v>
      </c>
      <c r="D18" s="2">
        <v>50</v>
      </c>
      <c r="E18">
        <v>10</v>
      </c>
      <c r="F18">
        <v>10</v>
      </c>
      <c r="G18">
        <v>10</v>
      </c>
      <c r="H18">
        <v>10</v>
      </c>
      <c r="I18">
        <v>10</v>
      </c>
      <c r="J18">
        <v>10</v>
      </c>
      <c r="K18">
        <v>12</v>
      </c>
      <c r="L18">
        <v>12</v>
      </c>
      <c r="M18">
        <v>12</v>
      </c>
      <c r="N18">
        <v>12</v>
      </c>
      <c r="O18">
        <v>12</v>
      </c>
      <c r="P18">
        <v>12</v>
      </c>
      <c r="Q18" s="3">
        <f t="shared" si="0"/>
        <v>500</v>
      </c>
      <c r="R18" s="3">
        <f t="shared" si="0"/>
        <v>500</v>
      </c>
      <c r="S18" s="3">
        <f t="shared" si="0"/>
        <v>500</v>
      </c>
      <c r="T18" s="3">
        <f t="shared" si="0"/>
        <v>500</v>
      </c>
      <c r="U18" s="3">
        <f t="shared" si="0"/>
        <v>500</v>
      </c>
      <c r="V18" s="3">
        <f t="shared" si="0"/>
        <v>500</v>
      </c>
      <c r="W18" s="3">
        <f t="shared" si="1"/>
        <v>600</v>
      </c>
      <c r="X18" s="3">
        <f t="shared" si="1"/>
        <v>600</v>
      </c>
      <c r="Y18" s="3">
        <f t="shared" si="1"/>
        <v>600</v>
      </c>
      <c r="Z18" s="3">
        <f t="shared" si="1"/>
        <v>600</v>
      </c>
      <c r="AA18" s="3">
        <f t="shared" si="1"/>
        <v>600</v>
      </c>
      <c r="AB18" s="3">
        <f t="shared" si="1"/>
        <v>600</v>
      </c>
      <c r="AC18" s="5">
        <f t="shared" si="2"/>
        <v>60</v>
      </c>
      <c r="AD18" s="5">
        <f t="shared" si="3"/>
        <v>72</v>
      </c>
      <c r="AE18" s="5">
        <f t="shared" si="4"/>
        <v>3000</v>
      </c>
      <c r="AF18" s="5">
        <f t="shared" si="5"/>
        <v>3600</v>
      </c>
      <c r="AG18" s="5">
        <f t="shared" si="6"/>
        <v>-600</v>
      </c>
      <c r="AH18">
        <f t="shared" si="7"/>
        <v>1.2</v>
      </c>
      <c r="AI18" s="5">
        <f t="shared" si="8"/>
        <v>-12</v>
      </c>
      <c r="AJ18" t="s">
        <v>80</v>
      </c>
      <c r="AK18">
        <v>4</v>
      </c>
      <c r="AL18">
        <v>360</v>
      </c>
      <c r="AM18">
        <v>386</v>
      </c>
      <c r="AN18">
        <v>25600</v>
      </c>
      <c r="AO18">
        <v>28350</v>
      </c>
      <c r="AP18">
        <f>AN18-AO18</f>
        <v>-2750</v>
      </c>
    </row>
    <row r="19" spans="1:42" x14ac:dyDescent="0.35">
      <c r="A19" t="s">
        <v>13</v>
      </c>
      <c r="B19" t="s">
        <v>22</v>
      </c>
      <c r="C19" t="s">
        <v>48</v>
      </c>
      <c r="D19" s="2">
        <v>60</v>
      </c>
      <c r="E19">
        <v>20</v>
      </c>
      <c r="F19">
        <v>20</v>
      </c>
      <c r="G19">
        <v>20</v>
      </c>
      <c r="H19">
        <v>20</v>
      </c>
      <c r="I19">
        <v>20</v>
      </c>
      <c r="J19">
        <v>20</v>
      </c>
      <c r="K19">
        <v>25</v>
      </c>
      <c r="L19">
        <v>25</v>
      </c>
      <c r="M19">
        <v>25</v>
      </c>
      <c r="N19">
        <v>25</v>
      </c>
      <c r="O19">
        <v>25</v>
      </c>
      <c r="P19">
        <v>25</v>
      </c>
      <c r="Q19" s="3">
        <f t="shared" si="0"/>
        <v>1200</v>
      </c>
      <c r="R19" s="3">
        <f t="shared" si="0"/>
        <v>1200</v>
      </c>
      <c r="S19" s="3">
        <f t="shared" si="0"/>
        <v>1200</v>
      </c>
      <c r="T19" s="3">
        <f t="shared" si="0"/>
        <v>1200</v>
      </c>
      <c r="U19" s="3">
        <f t="shared" si="0"/>
        <v>1200</v>
      </c>
      <c r="V19" s="3">
        <f t="shared" si="0"/>
        <v>1200</v>
      </c>
      <c r="W19" s="3">
        <f t="shared" si="1"/>
        <v>1500</v>
      </c>
      <c r="X19" s="3">
        <f t="shared" si="1"/>
        <v>1500</v>
      </c>
      <c r="Y19" s="3">
        <f t="shared" si="1"/>
        <v>1500</v>
      </c>
      <c r="Z19" s="3">
        <f t="shared" si="1"/>
        <v>1500</v>
      </c>
      <c r="AA19" s="3">
        <f t="shared" si="1"/>
        <v>1500</v>
      </c>
      <c r="AB19" s="3">
        <f t="shared" si="1"/>
        <v>1500</v>
      </c>
      <c r="AC19" s="5">
        <f t="shared" si="2"/>
        <v>120</v>
      </c>
      <c r="AD19" s="5">
        <f t="shared" si="3"/>
        <v>150</v>
      </c>
      <c r="AE19" s="5">
        <f t="shared" si="4"/>
        <v>7200</v>
      </c>
      <c r="AF19" s="5">
        <f t="shared" si="5"/>
        <v>9000</v>
      </c>
      <c r="AG19" s="5">
        <f t="shared" si="6"/>
        <v>-1800</v>
      </c>
      <c r="AH19">
        <f t="shared" si="7"/>
        <v>1.25</v>
      </c>
      <c r="AI19" s="5">
        <f t="shared" si="8"/>
        <v>-30</v>
      </c>
      <c r="AJ19" t="s">
        <v>81</v>
      </c>
      <c r="AK19">
        <v>4</v>
      </c>
      <c r="AL19">
        <v>225</v>
      </c>
      <c r="AM19">
        <v>268</v>
      </c>
      <c r="AN19">
        <v>21850</v>
      </c>
      <c r="AO19">
        <v>19100</v>
      </c>
      <c r="AP19">
        <f t="shared" si="9"/>
        <v>2750</v>
      </c>
    </row>
    <row r="20" spans="1:42" x14ac:dyDescent="0.35">
      <c r="A20" t="s">
        <v>13</v>
      </c>
      <c r="B20" t="s">
        <v>22</v>
      </c>
      <c r="C20" t="s">
        <v>50</v>
      </c>
      <c r="D20" s="2">
        <v>140</v>
      </c>
      <c r="E20">
        <v>40</v>
      </c>
      <c r="F20">
        <v>40</v>
      </c>
      <c r="G20">
        <v>40</v>
      </c>
      <c r="H20">
        <v>40</v>
      </c>
      <c r="I20">
        <v>40</v>
      </c>
      <c r="J20">
        <v>40</v>
      </c>
      <c r="K20">
        <v>50</v>
      </c>
      <c r="L20">
        <v>50</v>
      </c>
      <c r="M20">
        <v>50</v>
      </c>
      <c r="N20">
        <v>25</v>
      </c>
      <c r="O20">
        <v>25</v>
      </c>
      <c r="P20">
        <v>25</v>
      </c>
      <c r="Q20" s="3">
        <f t="shared" si="0"/>
        <v>5600</v>
      </c>
      <c r="R20" s="3">
        <f t="shared" si="0"/>
        <v>5600</v>
      </c>
      <c r="S20" s="3">
        <f t="shared" si="0"/>
        <v>5600</v>
      </c>
      <c r="T20" s="3">
        <f t="shared" si="0"/>
        <v>5600</v>
      </c>
      <c r="U20" s="3">
        <f t="shared" si="0"/>
        <v>5600</v>
      </c>
      <c r="V20" s="3">
        <f t="shared" si="0"/>
        <v>5600</v>
      </c>
      <c r="W20" s="3">
        <f t="shared" si="1"/>
        <v>7000</v>
      </c>
      <c r="X20" s="3">
        <f t="shared" si="1"/>
        <v>7000</v>
      </c>
      <c r="Y20" s="3">
        <f t="shared" si="1"/>
        <v>7000</v>
      </c>
      <c r="Z20" s="3">
        <f t="shared" si="1"/>
        <v>3500</v>
      </c>
      <c r="AA20" s="3">
        <f t="shared" si="1"/>
        <v>3500</v>
      </c>
      <c r="AB20" s="3">
        <f t="shared" si="1"/>
        <v>3500</v>
      </c>
      <c r="AC20" s="5">
        <f t="shared" si="2"/>
        <v>240</v>
      </c>
      <c r="AD20" s="5">
        <f t="shared" si="3"/>
        <v>225</v>
      </c>
      <c r="AE20" s="5">
        <f t="shared" si="4"/>
        <v>33600</v>
      </c>
      <c r="AF20" s="5">
        <f t="shared" si="5"/>
        <v>31500</v>
      </c>
      <c r="AG20" s="5">
        <f t="shared" si="6"/>
        <v>2100</v>
      </c>
      <c r="AH20">
        <f t="shared" si="7"/>
        <v>0.9375</v>
      </c>
      <c r="AI20" s="5">
        <f t="shared" si="8"/>
        <v>15</v>
      </c>
      <c r="AJ20" t="s">
        <v>82</v>
      </c>
      <c r="AK20">
        <v>4</v>
      </c>
      <c r="AL20">
        <v>460</v>
      </c>
      <c r="AM20">
        <v>538</v>
      </c>
      <c r="AN20">
        <v>36000</v>
      </c>
      <c r="AO20">
        <v>37050</v>
      </c>
      <c r="AP20">
        <f t="shared" si="9"/>
        <v>-1050</v>
      </c>
    </row>
    <row r="21" spans="1:42" x14ac:dyDescent="0.35">
      <c r="A21" t="s">
        <v>14</v>
      </c>
      <c r="B21" t="s">
        <v>23</v>
      </c>
      <c r="C21" t="s">
        <v>34</v>
      </c>
      <c r="D21" s="2">
        <v>50</v>
      </c>
      <c r="E21">
        <v>10</v>
      </c>
      <c r="F21">
        <v>10</v>
      </c>
      <c r="G21">
        <v>10</v>
      </c>
      <c r="H21">
        <v>10</v>
      </c>
      <c r="I21">
        <v>10</v>
      </c>
      <c r="J21">
        <v>10</v>
      </c>
      <c r="K21">
        <v>5</v>
      </c>
      <c r="L21">
        <v>5</v>
      </c>
      <c r="M21">
        <v>5</v>
      </c>
      <c r="N21">
        <v>5</v>
      </c>
      <c r="O21">
        <v>5</v>
      </c>
      <c r="P21">
        <v>5</v>
      </c>
      <c r="Q21" s="3">
        <f t="shared" si="0"/>
        <v>500</v>
      </c>
      <c r="R21" s="3">
        <f t="shared" si="0"/>
        <v>500</v>
      </c>
      <c r="S21" s="3">
        <f t="shared" si="0"/>
        <v>500</v>
      </c>
      <c r="T21" s="3">
        <f t="shared" si="0"/>
        <v>500</v>
      </c>
      <c r="U21" s="3">
        <f t="shared" si="0"/>
        <v>500</v>
      </c>
      <c r="V21" s="3">
        <f t="shared" si="0"/>
        <v>500</v>
      </c>
      <c r="W21" s="3">
        <f t="shared" si="1"/>
        <v>250</v>
      </c>
      <c r="X21" s="3">
        <f t="shared" si="1"/>
        <v>250</v>
      </c>
      <c r="Y21" s="3">
        <f t="shared" si="1"/>
        <v>250</v>
      </c>
      <c r="Z21" s="3">
        <f t="shared" si="1"/>
        <v>250</v>
      </c>
      <c r="AA21" s="3">
        <f t="shared" si="1"/>
        <v>250</v>
      </c>
      <c r="AB21" s="3">
        <f t="shared" si="1"/>
        <v>250</v>
      </c>
      <c r="AC21" s="5">
        <f t="shared" si="2"/>
        <v>60</v>
      </c>
      <c r="AD21" s="5">
        <f t="shared" si="3"/>
        <v>30</v>
      </c>
      <c r="AE21" s="5">
        <f t="shared" si="4"/>
        <v>3000</v>
      </c>
      <c r="AF21" s="5">
        <f t="shared" si="5"/>
        <v>1500</v>
      </c>
      <c r="AG21" s="5">
        <f t="shared" si="6"/>
        <v>1500</v>
      </c>
      <c r="AH21">
        <f t="shared" si="7"/>
        <v>0.5</v>
      </c>
      <c r="AI21" s="5">
        <f t="shared" si="8"/>
        <v>30</v>
      </c>
      <c r="AJ21" t="s">
        <v>83</v>
      </c>
      <c r="AK21">
        <v>4</v>
      </c>
      <c r="AL21">
        <v>550</v>
      </c>
      <c r="AM21">
        <v>526</v>
      </c>
      <c r="AN21">
        <v>48500</v>
      </c>
      <c r="AO21">
        <v>45250</v>
      </c>
      <c r="AP21">
        <f t="shared" si="9"/>
        <v>3250</v>
      </c>
    </row>
    <row r="22" spans="1:42" x14ac:dyDescent="0.35">
      <c r="A22" t="s">
        <v>14</v>
      </c>
      <c r="B22" t="s">
        <v>23</v>
      </c>
      <c r="C22" t="s">
        <v>39</v>
      </c>
      <c r="D22" s="2">
        <v>35</v>
      </c>
      <c r="E22">
        <v>80</v>
      </c>
      <c r="F22">
        <v>80</v>
      </c>
      <c r="G22">
        <v>80</v>
      </c>
      <c r="H22">
        <v>80</v>
      </c>
      <c r="I22">
        <v>80</v>
      </c>
      <c r="J22">
        <v>80</v>
      </c>
      <c r="K22">
        <v>80</v>
      </c>
      <c r="L22">
        <v>80</v>
      </c>
      <c r="M22">
        <v>80</v>
      </c>
      <c r="N22">
        <v>80</v>
      </c>
      <c r="O22">
        <v>80</v>
      </c>
      <c r="P22">
        <v>80</v>
      </c>
      <c r="Q22" s="3">
        <f t="shared" si="0"/>
        <v>2800</v>
      </c>
      <c r="R22" s="3">
        <f t="shared" si="0"/>
        <v>2800</v>
      </c>
      <c r="S22" s="3">
        <f t="shared" si="0"/>
        <v>2800</v>
      </c>
      <c r="T22" s="3">
        <f t="shared" si="0"/>
        <v>2800</v>
      </c>
      <c r="U22" s="3">
        <f t="shared" si="0"/>
        <v>2800</v>
      </c>
      <c r="V22" s="3">
        <f t="shared" si="0"/>
        <v>2800</v>
      </c>
      <c r="W22" s="3">
        <f t="shared" si="1"/>
        <v>2800</v>
      </c>
      <c r="X22" s="3">
        <f t="shared" si="1"/>
        <v>2800</v>
      </c>
      <c r="Y22" s="3">
        <f t="shared" si="1"/>
        <v>2800</v>
      </c>
      <c r="Z22" s="3">
        <f t="shared" si="1"/>
        <v>2800</v>
      </c>
      <c r="AA22" s="3">
        <f t="shared" si="1"/>
        <v>2800</v>
      </c>
      <c r="AB22" s="3">
        <f t="shared" si="1"/>
        <v>2800</v>
      </c>
      <c r="AC22" s="5">
        <f t="shared" si="2"/>
        <v>480</v>
      </c>
      <c r="AD22" s="5">
        <f t="shared" si="3"/>
        <v>480</v>
      </c>
      <c r="AE22" s="5">
        <f t="shared" si="4"/>
        <v>16800</v>
      </c>
      <c r="AF22" s="5">
        <f t="shared" si="5"/>
        <v>16800</v>
      </c>
      <c r="AG22" s="5">
        <f t="shared" si="6"/>
        <v>0</v>
      </c>
      <c r="AH22">
        <f t="shared" si="7"/>
        <v>1</v>
      </c>
      <c r="AI22" s="5">
        <f t="shared" si="8"/>
        <v>0</v>
      </c>
      <c r="AJ22" t="s">
        <v>84</v>
      </c>
      <c r="AK22">
        <v>4</v>
      </c>
      <c r="AL22">
        <v>430</v>
      </c>
      <c r="AM22">
        <v>369</v>
      </c>
      <c r="AN22">
        <v>29080</v>
      </c>
      <c r="AO22">
        <v>23040</v>
      </c>
      <c r="AP22">
        <f t="shared" si="9"/>
        <v>6040</v>
      </c>
    </row>
    <row r="23" spans="1:42" x14ac:dyDescent="0.35">
      <c r="A23" t="s">
        <v>14</v>
      </c>
      <c r="B23" t="s">
        <v>23</v>
      </c>
      <c r="C23" t="s">
        <v>40</v>
      </c>
      <c r="D23" s="2">
        <v>75</v>
      </c>
      <c r="E23">
        <v>80</v>
      </c>
      <c r="F23">
        <v>80</v>
      </c>
      <c r="G23">
        <v>80</v>
      </c>
      <c r="H23">
        <v>80</v>
      </c>
      <c r="I23">
        <v>80</v>
      </c>
      <c r="J23">
        <v>80</v>
      </c>
      <c r="K23">
        <v>80</v>
      </c>
      <c r="L23">
        <v>80</v>
      </c>
      <c r="M23">
        <v>80</v>
      </c>
      <c r="N23">
        <v>80</v>
      </c>
      <c r="O23">
        <v>80</v>
      </c>
      <c r="P23">
        <v>80</v>
      </c>
      <c r="Q23" s="3">
        <f t="shared" si="0"/>
        <v>6000</v>
      </c>
      <c r="R23" s="3">
        <f t="shared" si="0"/>
        <v>6000</v>
      </c>
      <c r="S23" s="3">
        <f t="shared" si="0"/>
        <v>6000</v>
      </c>
      <c r="T23" s="3">
        <f t="shared" si="0"/>
        <v>6000</v>
      </c>
      <c r="U23" s="3">
        <f t="shared" si="0"/>
        <v>6000</v>
      </c>
      <c r="V23" s="3">
        <f t="shared" si="0"/>
        <v>6000</v>
      </c>
      <c r="W23" s="3">
        <f t="shared" si="1"/>
        <v>6000</v>
      </c>
      <c r="X23" s="3">
        <f t="shared" si="1"/>
        <v>6000</v>
      </c>
      <c r="Y23" s="3">
        <f t="shared" si="1"/>
        <v>6000</v>
      </c>
      <c r="Z23" s="3">
        <f t="shared" si="1"/>
        <v>6000</v>
      </c>
      <c r="AA23" s="3">
        <f t="shared" si="1"/>
        <v>6000</v>
      </c>
      <c r="AB23" s="3">
        <f t="shared" si="1"/>
        <v>6000</v>
      </c>
      <c r="AC23" s="5">
        <f t="shared" si="2"/>
        <v>480</v>
      </c>
      <c r="AD23" s="5">
        <f t="shared" si="3"/>
        <v>480</v>
      </c>
      <c r="AE23" s="5">
        <f t="shared" si="4"/>
        <v>36000</v>
      </c>
      <c r="AF23" s="5">
        <f t="shared" si="5"/>
        <v>36000</v>
      </c>
      <c r="AG23" s="5">
        <f t="shared" si="6"/>
        <v>0</v>
      </c>
      <c r="AH23">
        <f t="shared" si="7"/>
        <v>1</v>
      </c>
      <c r="AI23" s="5">
        <f t="shared" si="8"/>
        <v>0</v>
      </c>
      <c r="AJ23" t="s">
        <v>80</v>
      </c>
      <c r="AK23">
        <v>5</v>
      </c>
      <c r="AL23">
        <v>360</v>
      </c>
      <c r="AM23">
        <v>386</v>
      </c>
      <c r="AN23">
        <v>25600</v>
      </c>
      <c r="AO23">
        <v>28350</v>
      </c>
      <c r="AP23">
        <f t="shared" si="9"/>
        <v>-2750</v>
      </c>
    </row>
    <row r="24" spans="1:42" x14ac:dyDescent="0.35">
      <c r="A24" t="s">
        <v>14</v>
      </c>
      <c r="B24" t="s">
        <v>23</v>
      </c>
      <c r="C24" t="s">
        <v>48</v>
      </c>
      <c r="D24" s="2">
        <v>60</v>
      </c>
      <c r="E24">
        <v>20</v>
      </c>
      <c r="F24">
        <v>20</v>
      </c>
      <c r="G24">
        <v>20</v>
      </c>
      <c r="H24">
        <v>20</v>
      </c>
      <c r="I24">
        <v>20</v>
      </c>
      <c r="J24">
        <v>20</v>
      </c>
      <c r="K24">
        <v>25</v>
      </c>
      <c r="L24">
        <v>25</v>
      </c>
      <c r="M24">
        <v>25</v>
      </c>
      <c r="N24">
        <v>25</v>
      </c>
      <c r="O24">
        <v>25</v>
      </c>
      <c r="P24">
        <v>25</v>
      </c>
      <c r="Q24" s="3">
        <f t="shared" si="0"/>
        <v>1200</v>
      </c>
      <c r="R24" s="3">
        <f t="shared" si="0"/>
        <v>1200</v>
      </c>
      <c r="S24" s="3">
        <f t="shared" si="0"/>
        <v>1200</v>
      </c>
      <c r="T24" s="3">
        <f t="shared" si="0"/>
        <v>1200</v>
      </c>
      <c r="U24" s="3">
        <f t="shared" si="0"/>
        <v>1200</v>
      </c>
      <c r="V24" s="3">
        <f t="shared" si="0"/>
        <v>1200</v>
      </c>
      <c r="W24" s="3">
        <f t="shared" si="1"/>
        <v>1500</v>
      </c>
      <c r="X24" s="3">
        <f t="shared" si="1"/>
        <v>1500</v>
      </c>
      <c r="Y24" s="3">
        <f t="shared" si="1"/>
        <v>1500</v>
      </c>
      <c r="Z24" s="3">
        <f t="shared" si="1"/>
        <v>1500</v>
      </c>
      <c r="AA24" s="3">
        <f t="shared" si="1"/>
        <v>1500</v>
      </c>
      <c r="AB24" s="3">
        <f t="shared" si="1"/>
        <v>1500</v>
      </c>
      <c r="AC24" s="5">
        <f t="shared" si="2"/>
        <v>120</v>
      </c>
      <c r="AD24" s="5">
        <f t="shared" si="3"/>
        <v>150</v>
      </c>
      <c r="AE24" s="5">
        <f t="shared" si="4"/>
        <v>7200</v>
      </c>
      <c r="AF24" s="5">
        <f t="shared" si="5"/>
        <v>9000</v>
      </c>
      <c r="AG24" s="5">
        <f t="shared" si="6"/>
        <v>-1800</v>
      </c>
      <c r="AH24">
        <f t="shared" si="7"/>
        <v>1.25</v>
      </c>
      <c r="AI24" s="5">
        <f t="shared" si="8"/>
        <v>-30</v>
      </c>
      <c r="AJ24" t="s">
        <v>81</v>
      </c>
      <c r="AK24">
        <v>5</v>
      </c>
      <c r="AL24">
        <v>225</v>
      </c>
      <c r="AM24">
        <v>268</v>
      </c>
      <c r="AN24">
        <v>21850</v>
      </c>
      <c r="AO24">
        <v>19100</v>
      </c>
      <c r="AP24">
        <f t="shared" si="9"/>
        <v>2750</v>
      </c>
    </row>
    <row r="25" spans="1:42" x14ac:dyDescent="0.35">
      <c r="A25" t="s">
        <v>14</v>
      </c>
      <c r="B25" t="s">
        <v>24</v>
      </c>
      <c r="C25" t="s">
        <v>41</v>
      </c>
      <c r="D25" s="2">
        <v>105</v>
      </c>
      <c r="E25">
        <v>80</v>
      </c>
      <c r="F25">
        <v>80</v>
      </c>
      <c r="G25">
        <v>80</v>
      </c>
      <c r="H25">
        <v>80</v>
      </c>
      <c r="I25">
        <v>80</v>
      </c>
      <c r="J25">
        <v>80</v>
      </c>
      <c r="K25">
        <v>120</v>
      </c>
      <c r="L25">
        <v>120</v>
      </c>
      <c r="M25">
        <v>120</v>
      </c>
      <c r="N25">
        <v>120</v>
      </c>
      <c r="O25">
        <v>120</v>
      </c>
      <c r="P25">
        <v>120</v>
      </c>
      <c r="Q25" s="3">
        <f t="shared" si="0"/>
        <v>8400</v>
      </c>
      <c r="R25" s="3">
        <f t="shared" si="0"/>
        <v>8400</v>
      </c>
      <c r="S25" s="3">
        <f t="shared" si="0"/>
        <v>8400</v>
      </c>
      <c r="T25" s="3">
        <f t="shared" si="0"/>
        <v>8400</v>
      </c>
      <c r="U25" s="3">
        <f t="shared" si="0"/>
        <v>8400</v>
      </c>
      <c r="V25" s="3">
        <f t="shared" si="0"/>
        <v>8400</v>
      </c>
      <c r="W25" s="3">
        <f t="shared" si="1"/>
        <v>12600</v>
      </c>
      <c r="X25" s="3">
        <f t="shared" si="1"/>
        <v>12600</v>
      </c>
      <c r="Y25" s="3">
        <f t="shared" si="1"/>
        <v>12600</v>
      </c>
      <c r="Z25" s="3">
        <f t="shared" si="1"/>
        <v>12600</v>
      </c>
      <c r="AA25" s="3">
        <f t="shared" si="1"/>
        <v>12600</v>
      </c>
      <c r="AB25" s="3">
        <f t="shared" si="1"/>
        <v>12600</v>
      </c>
      <c r="AC25" s="5">
        <f t="shared" si="2"/>
        <v>480</v>
      </c>
      <c r="AD25" s="5">
        <f t="shared" si="3"/>
        <v>720</v>
      </c>
      <c r="AE25" s="5">
        <f t="shared" si="4"/>
        <v>50400</v>
      </c>
      <c r="AF25" s="5">
        <f t="shared" si="5"/>
        <v>75600</v>
      </c>
      <c r="AG25" s="5">
        <f t="shared" si="6"/>
        <v>-25200</v>
      </c>
      <c r="AH25">
        <f t="shared" si="7"/>
        <v>1.5</v>
      </c>
      <c r="AI25" s="5">
        <f t="shared" si="8"/>
        <v>-240</v>
      </c>
      <c r="AJ25" t="s">
        <v>82</v>
      </c>
      <c r="AK25">
        <v>5</v>
      </c>
      <c r="AL25">
        <v>460</v>
      </c>
      <c r="AM25">
        <v>538</v>
      </c>
      <c r="AN25">
        <v>36000</v>
      </c>
      <c r="AO25">
        <v>37050</v>
      </c>
      <c r="AP25">
        <f t="shared" si="9"/>
        <v>-1050</v>
      </c>
    </row>
    <row r="26" spans="1:42" x14ac:dyDescent="0.35">
      <c r="A26" t="s">
        <v>14</v>
      </c>
      <c r="B26" t="s">
        <v>24</v>
      </c>
      <c r="C26" t="s">
        <v>47</v>
      </c>
      <c r="D26" s="2">
        <v>50</v>
      </c>
      <c r="E26">
        <v>10</v>
      </c>
      <c r="F26">
        <v>10</v>
      </c>
      <c r="G26">
        <v>10</v>
      </c>
      <c r="H26">
        <v>10</v>
      </c>
      <c r="I26">
        <v>10</v>
      </c>
      <c r="J26">
        <v>10</v>
      </c>
      <c r="K26">
        <v>12</v>
      </c>
      <c r="L26">
        <v>12</v>
      </c>
      <c r="M26">
        <v>12</v>
      </c>
      <c r="N26">
        <v>12</v>
      </c>
      <c r="O26">
        <v>12</v>
      </c>
      <c r="P26">
        <v>12</v>
      </c>
      <c r="Q26" s="3">
        <f t="shared" si="0"/>
        <v>500</v>
      </c>
      <c r="R26" s="3">
        <f t="shared" si="0"/>
        <v>500</v>
      </c>
      <c r="S26" s="3">
        <f t="shared" si="0"/>
        <v>500</v>
      </c>
      <c r="T26" s="3">
        <f t="shared" si="0"/>
        <v>500</v>
      </c>
      <c r="U26" s="3">
        <f t="shared" si="0"/>
        <v>500</v>
      </c>
      <c r="V26" s="3">
        <f t="shared" si="0"/>
        <v>500</v>
      </c>
      <c r="W26" s="3">
        <f t="shared" si="1"/>
        <v>600</v>
      </c>
      <c r="X26" s="3">
        <f t="shared" si="1"/>
        <v>600</v>
      </c>
      <c r="Y26" s="3">
        <f t="shared" si="1"/>
        <v>600</v>
      </c>
      <c r="Z26" s="3">
        <f t="shared" si="1"/>
        <v>600</v>
      </c>
      <c r="AA26" s="3">
        <f t="shared" si="1"/>
        <v>600</v>
      </c>
      <c r="AB26" s="3">
        <f t="shared" si="1"/>
        <v>600</v>
      </c>
      <c r="AC26" s="5">
        <f t="shared" si="2"/>
        <v>60</v>
      </c>
      <c r="AD26" s="5">
        <f t="shared" si="3"/>
        <v>72</v>
      </c>
      <c r="AE26" s="5">
        <f t="shared" si="4"/>
        <v>3000</v>
      </c>
      <c r="AF26" s="5">
        <f t="shared" si="5"/>
        <v>3600</v>
      </c>
      <c r="AG26" s="5">
        <f t="shared" si="6"/>
        <v>-600</v>
      </c>
      <c r="AH26">
        <f t="shared" si="7"/>
        <v>1.2</v>
      </c>
      <c r="AI26" s="5">
        <f t="shared" si="8"/>
        <v>-12</v>
      </c>
      <c r="AJ26" t="s">
        <v>83</v>
      </c>
      <c r="AK26">
        <v>5</v>
      </c>
      <c r="AL26">
        <v>550</v>
      </c>
      <c r="AM26">
        <v>526</v>
      </c>
      <c r="AN26">
        <v>48500</v>
      </c>
      <c r="AO26">
        <v>45250</v>
      </c>
      <c r="AP26">
        <f t="shared" si="9"/>
        <v>3250</v>
      </c>
    </row>
    <row r="27" spans="1:42" x14ac:dyDescent="0.35">
      <c r="A27" t="s">
        <v>14</v>
      </c>
      <c r="B27" t="s">
        <v>24</v>
      </c>
      <c r="C27" t="s">
        <v>48</v>
      </c>
      <c r="D27" s="2">
        <v>60</v>
      </c>
      <c r="E27">
        <v>20</v>
      </c>
      <c r="F27">
        <v>20</v>
      </c>
      <c r="G27">
        <v>20</v>
      </c>
      <c r="H27">
        <v>20</v>
      </c>
      <c r="I27">
        <v>20</v>
      </c>
      <c r="J27">
        <v>20</v>
      </c>
      <c r="K27">
        <v>25</v>
      </c>
      <c r="L27">
        <v>25</v>
      </c>
      <c r="M27">
        <v>25</v>
      </c>
      <c r="N27">
        <v>25</v>
      </c>
      <c r="O27">
        <v>25</v>
      </c>
      <c r="P27">
        <v>25</v>
      </c>
      <c r="Q27" s="3">
        <f t="shared" si="0"/>
        <v>1200</v>
      </c>
      <c r="R27" s="3">
        <f t="shared" si="0"/>
        <v>1200</v>
      </c>
      <c r="S27" s="3">
        <f t="shared" si="0"/>
        <v>1200</v>
      </c>
      <c r="T27" s="3">
        <f t="shared" si="0"/>
        <v>1200</v>
      </c>
      <c r="U27" s="3">
        <f t="shared" si="0"/>
        <v>1200</v>
      </c>
      <c r="V27" s="3">
        <f t="shared" si="0"/>
        <v>1200</v>
      </c>
      <c r="W27" s="3">
        <f t="shared" si="1"/>
        <v>1500</v>
      </c>
      <c r="X27" s="3">
        <f t="shared" si="1"/>
        <v>1500</v>
      </c>
      <c r="Y27" s="3">
        <f t="shared" si="1"/>
        <v>1500</v>
      </c>
      <c r="Z27" s="3">
        <f t="shared" si="1"/>
        <v>1500</v>
      </c>
      <c r="AA27" s="3">
        <f t="shared" si="1"/>
        <v>1500</v>
      </c>
      <c r="AB27" s="3">
        <f t="shared" si="1"/>
        <v>1500</v>
      </c>
      <c r="AC27" s="5">
        <f t="shared" si="2"/>
        <v>120</v>
      </c>
      <c r="AD27" s="5">
        <f t="shared" si="3"/>
        <v>150</v>
      </c>
      <c r="AE27" s="5">
        <f t="shared" si="4"/>
        <v>7200</v>
      </c>
      <c r="AF27" s="5">
        <f t="shared" si="5"/>
        <v>9000</v>
      </c>
      <c r="AG27" s="5">
        <f t="shared" si="6"/>
        <v>-1800</v>
      </c>
      <c r="AH27">
        <f t="shared" si="7"/>
        <v>1.25</v>
      </c>
      <c r="AI27" s="5">
        <f t="shared" si="8"/>
        <v>-30</v>
      </c>
      <c r="AJ27" t="s">
        <v>84</v>
      </c>
      <c r="AK27">
        <v>5</v>
      </c>
      <c r="AL27">
        <v>430</v>
      </c>
      <c r="AM27">
        <v>369</v>
      </c>
      <c r="AN27">
        <v>29080</v>
      </c>
      <c r="AO27">
        <v>23040</v>
      </c>
      <c r="AP27">
        <f t="shared" si="9"/>
        <v>6040</v>
      </c>
    </row>
    <row r="28" spans="1:42" x14ac:dyDescent="0.35">
      <c r="A28" t="s">
        <v>14</v>
      </c>
      <c r="B28" t="s">
        <v>25</v>
      </c>
      <c r="C28" t="s">
        <v>34</v>
      </c>
      <c r="D28" s="2">
        <v>50</v>
      </c>
      <c r="E28">
        <v>30</v>
      </c>
      <c r="F28">
        <v>30</v>
      </c>
      <c r="G28">
        <v>30</v>
      </c>
      <c r="H28">
        <v>30</v>
      </c>
      <c r="I28">
        <v>30</v>
      </c>
      <c r="J28">
        <v>30</v>
      </c>
      <c r="K28">
        <v>30</v>
      </c>
      <c r="L28">
        <v>30</v>
      </c>
      <c r="M28">
        <v>30</v>
      </c>
      <c r="N28">
        <v>30</v>
      </c>
      <c r="O28">
        <v>30</v>
      </c>
      <c r="P28">
        <v>30</v>
      </c>
      <c r="Q28" s="3">
        <f t="shared" si="0"/>
        <v>1500</v>
      </c>
      <c r="R28" s="3">
        <f t="shared" si="0"/>
        <v>1500</v>
      </c>
      <c r="S28" s="3">
        <f t="shared" si="0"/>
        <v>1500</v>
      </c>
      <c r="T28" s="3">
        <f t="shared" si="0"/>
        <v>1500</v>
      </c>
      <c r="U28" s="3">
        <f t="shared" si="0"/>
        <v>1500</v>
      </c>
      <c r="V28" s="3">
        <f t="shared" si="0"/>
        <v>1500</v>
      </c>
      <c r="W28" s="3">
        <f t="shared" si="1"/>
        <v>1500</v>
      </c>
      <c r="X28" s="3">
        <f t="shared" si="1"/>
        <v>1500</v>
      </c>
      <c r="Y28" s="3">
        <f t="shared" si="1"/>
        <v>1500</v>
      </c>
      <c r="Z28" s="3">
        <f t="shared" si="1"/>
        <v>1500</v>
      </c>
      <c r="AA28" s="3">
        <f t="shared" si="1"/>
        <v>1500</v>
      </c>
      <c r="AB28" s="3">
        <f t="shared" si="1"/>
        <v>1500</v>
      </c>
      <c r="AC28" s="5">
        <f t="shared" si="2"/>
        <v>180</v>
      </c>
      <c r="AD28" s="5">
        <f t="shared" si="3"/>
        <v>180</v>
      </c>
      <c r="AE28" s="5">
        <f t="shared" si="4"/>
        <v>9000</v>
      </c>
      <c r="AF28" s="5">
        <f t="shared" si="5"/>
        <v>9000</v>
      </c>
      <c r="AG28" s="5">
        <f t="shared" si="6"/>
        <v>0</v>
      </c>
      <c r="AH28">
        <f t="shared" si="7"/>
        <v>1</v>
      </c>
      <c r="AI28" s="5">
        <f t="shared" si="8"/>
        <v>0</v>
      </c>
      <c r="AJ28" t="s">
        <v>80</v>
      </c>
      <c r="AK28">
        <v>6</v>
      </c>
      <c r="AL28">
        <v>360</v>
      </c>
      <c r="AM28">
        <v>386</v>
      </c>
      <c r="AN28">
        <v>25600</v>
      </c>
      <c r="AO28">
        <v>28350</v>
      </c>
      <c r="AP28">
        <f t="shared" si="9"/>
        <v>-2750</v>
      </c>
    </row>
    <row r="29" spans="1:42" x14ac:dyDescent="0.35">
      <c r="A29" t="s">
        <v>14</v>
      </c>
      <c r="B29" t="s">
        <v>25</v>
      </c>
      <c r="C29" t="s">
        <v>47</v>
      </c>
      <c r="D29" s="2">
        <v>50</v>
      </c>
      <c r="E29">
        <v>10</v>
      </c>
      <c r="F29">
        <v>10</v>
      </c>
      <c r="G29">
        <v>10</v>
      </c>
      <c r="H29">
        <v>10</v>
      </c>
      <c r="I29">
        <v>10</v>
      </c>
      <c r="J29">
        <v>10</v>
      </c>
      <c r="K29">
        <v>12</v>
      </c>
      <c r="L29">
        <v>12</v>
      </c>
      <c r="M29">
        <v>12</v>
      </c>
      <c r="N29">
        <v>12</v>
      </c>
      <c r="O29">
        <v>12</v>
      </c>
      <c r="P29">
        <v>12</v>
      </c>
      <c r="Q29" s="3">
        <f t="shared" si="0"/>
        <v>500</v>
      </c>
      <c r="R29" s="3">
        <f t="shared" si="0"/>
        <v>500</v>
      </c>
      <c r="S29" s="3">
        <f t="shared" si="0"/>
        <v>500</v>
      </c>
      <c r="T29" s="3">
        <f t="shared" si="0"/>
        <v>500</v>
      </c>
      <c r="U29" s="3">
        <f t="shared" si="0"/>
        <v>500</v>
      </c>
      <c r="V29" s="3">
        <f t="shared" si="0"/>
        <v>500</v>
      </c>
      <c r="W29" s="3">
        <f t="shared" si="1"/>
        <v>600</v>
      </c>
      <c r="X29" s="3">
        <f t="shared" si="1"/>
        <v>600</v>
      </c>
      <c r="Y29" s="3">
        <f t="shared" si="1"/>
        <v>600</v>
      </c>
      <c r="Z29" s="3">
        <f t="shared" si="1"/>
        <v>600</v>
      </c>
      <c r="AA29" s="3">
        <f t="shared" si="1"/>
        <v>600</v>
      </c>
      <c r="AB29" s="3">
        <f t="shared" si="1"/>
        <v>600</v>
      </c>
      <c r="AC29" s="5">
        <f t="shared" si="2"/>
        <v>60</v>
      </c>
      <c r="AD29" s="5">
        <f t="shared" si="3"/>
        <v>72</v>
      </c>
      <c r="AE29" s="5">
        <f t="shared" si="4"/>
        <v>3000</v>
      </c>
      <c r="AF29" s="5">
        <f t="shared" si="5"/>
        <v>3600</v>
      </c>
      <c r="AG29" s="5">
        <f t="shared" si="6"/>
        <v>-600</v>
      </c>
      <c r="AH29">
        <f t="shared" si="7"/>
        <v>1.2</v>
      </c>
      <c r="AI29" s="5">
        <f t="shared" si="8"/>
        <v>-12</v>
      </c>
      <c r="AJ29" t="s">
        <v>81</v>
      </c>
      <c r="AK29">
        <v>6</v>
      </c>
      <c r="AL29">
        <v>225</v>
      </c>
      <c r="AM29">
        <v>268</v>
      </c>
      <c r="AN29">
        <v>21850</v>
      </c>
      <c r="AO29">
        <v>19100</v>
      </c>
      <c r="AP29">
        <f>AN29-AO29</f>
        <v>2750</v>
      </c>
    </row>
    <row r="30" spans="1:42" x14ac:dyDescent="0.35">
      <c r="A30" t="s">
        <v>14</v>
      </c>
      <c r="B30" t="s">
        <v>25</v>
      </c>
      <c r="C30" t="s">
        <v>50</v>
      </c>
      <c r="D30" s="2">
        <v>140</v>
      </c>
      <c r="E30">
        <v>40</v>
      </c>
      <c r="F30">
        <v>40</v>
      </c>
      <c r="G30">
        <v>40</v>
      </c>
      <c r="H30">
        <v>40</v>
      </c>
      <c r="I30">
        <v>40</v>
      </c>
      <c r="J30">
        <v>40</v>
      </c>
      <c r="K30">
        <v>50</v>
      </c>
      <c r="L30">
        <v>50</v>
      </c>
      <c r="M30">
        <v>50</v>
      </c>
      <c r="N30">
        <v>25</v>
      </c>
      <c r="O30">
        <v>25</v>
      </c>
      <c r="P30">
        <v>25</v>
      </c>
      <c r="Q30" s="3">
        <f t="shared" si="0"/>
        <v>5600</v>
      </c>
      <c r="R30" s="3">
        <f t="shared" si="0"/>
        <v>5600</v>
      </c>
      <c r="S30" s="3">
        <f t="shared" si="0"/>
        <v>5600</v>
      </c>
      <c r="T30" s="3">
        <f t="shared" si="0"/>
        <v>5600</v>
      </c>
      <c r="U30" s="3">
        <f t="shared" si="0"/>
        <v>5600</v>
      </c>
      <c r="V30" s="3">
        <f t="shared" si="0"/>
        <v>5600</v>
      </c>
      <c r="W30" s="3">
        <f t="shared" si="1"/>
        <v>7000</v>
      </c>
      <c r="X30" s="3">
        <f t="shared" si="1"/>
        <v>7000</v>
      </c>
      <c r="Y30" s="3">
        <f t="shared" si="1"/>
        <v>7000</v>
      </c>
      <c r="Z30" s="3">
        <f t="shared" si="1"/>
        <v>3500</v>
      </c>
      <c r="AA30" s="3">
        <f t="shared" si="1"/>
        <v>3500</v>
      </c>
      <c r="AB30" s="3">
        <f t="shared" si="1"/>
        <v>3500</v>
      </c>
      <c r="AC30" s="5">
        <f t="shared" si="2"/>
        <v>240</v>
      </c>
      <c r="AD30" s="5">
        <f t="shared" si="3"/>
        <v>225</v>
      </c>
      <c r="AE30" s="5">
        <f t="shared" si="4"/>
        <v>33600</v>
      </c>
      <c r="AF30" s="5">
        <f t="shared" si="5"/>
        <v>31500</v>
      </c>
      <c r="AG30" s="5">
        <f t="shared" si="6"/>
        <v>2100</v>
      </c>
      <c r="AH30">
        <f t="shared" si="7"/>
        <v>0.9375</v>
      </c>
      <c r="AI30" s="5">
        <f t="shared" si="8"/>
        <v>15</v>
      </c>
      <c r="AJ30" t="s">
        <v>82</v>
      </c>
      <c r="AK30">
        <v>6</v>
      </c>
      <c r="AL30">
        <v>460</v>
      </c>
      <c r="AM30">
        <v>538</v>
      </c>
      <c r="AN30">
        <v>36000</v>
      </c>
      <c r="AO30">
        <v>37050</v>
      </c>
      <c r="AP30">
        <f t="shared" si="9"/>
        <v>-1050</v>
      </c>
    </row>
    <row r="31" spans="1:42" x14ac:dyDescent="0.35">
      <c r="A31" t="s">
        <v>14</v>
      </c>
      <c r="B31" t="s">
        <v>26</v>
      </c>
      <c r="C31" t="s">
        <v>47</v>
      </c>
      <c r="D31" s="2">
        <v>50</v>
      </c>
      <c r="E31">
        <v>10</v>
      </c>
      <c r="F31">
        <v>10</v>
      </c>
      <c r="G31">
        <v>10</v>
      </c>
      <c r="H31">
        <v>10</v>
      </c>
      <c r="I31">
        <v>10</v>
      </c>
      <c r="J31">
        <v>10</v>
      </c>
      <c r="K31">
        <v>12</v>
      </c>
      <c r="L31">
        <v>12</v>
      </c>
      <c r="M31">
        <v>12</v>
      </c>
      <c r="N31">
        <v>12</v>
      </c>
      <c r="O31">
        <v>12</v>
      </c>
      <c r="P31">
        <v>12</v>
      </c>
      <c r="Q31" s="3">
        <f t="shared" si="0"/>
        <v>500</v>
      </c>
      <c r="R31" s="3">
        <f t="shared" si="0"/>
        <v>500</v>
      </c>
      <c r="S31" s="3">
        <f t="shared" si="0"/>
        <v>500</v>
      </c>
      <c r="T31" s="3">
        <f t="shared" si="0"/>
        <v>500</v>
      </c>
      <c r="U31" s="3">
        <f t="shared" si="0"/>
        <v>500</v>
      </c>
      <c r="V31" s="3">
        <f t="shared" si="0"/>
        <v>500</v>
      </c>
      <c r="W31" s="3">
        <f t="shared" si="1"/>
        <v>600</v>
      </c>
      <c r="X31" s="3">
        <f t="shared" si="1"/>
        <v>600</v>
      </c>
      <c r="Y31" s="3">
        <f t="shared" si="1"/>
        <v>600</v>
      </c>
      <c r="Z31" s="3">
        <f t="shared" si="1"/>
        <v>600</v>
      </c>
      <c r="AA31" s="3">
        <f t="shared" si="1"/>
        <v>600</v>
      </c>
      <c r="AB31" s="3">
        <f t="shared" si="1"/>
        <v>600</v>
      </c>
      <c r="AC31" s="5">
        <f t="shared" si="2"/>
        <v>60</v>
      </c>
      <c r="AD31" s="5">
        <f t="shared" si="3"/>
        <v>72</v>
      </c>
      <c r="AE31" s="5">
        <f t="shared" si="4"/>
        <v>3000</v>
      </c>
      <c r="AF31" s="5">
        <f t="shared" si="5"/>
        <v>3600</v>
      </c>
      <c r="AG31" s="5">
        <f t="shared" si="6"/>
        <v>-600</v>
      </c>
      <c r="AH31">
        <f t="shared" si="7"/>
        <v>1.2</v>
      </c>
      <c r="AI31" s="5">
        <f t="shared" si="8"/>
        <v>-12</v>
      </c>
      <c r="AJ31" t="s">
        <v>83</v>
      </c>
      <c r="AK31">
        <v>6</v>
      </c>
      <c r="AL31">
        <v>550</v>
      </c>
      <c r="AM31">
        <v>526</v>
      </c>
      <c r="AN31">
        <v>48500</v>
      </c>
      <c r="AO31">
        <v>45250</v>
      </c>
      <c r="AP31">
        <f t="shared" si="9"/>
        <v>3250</v>
      </c>
    </row>
    <row r="32" spans="1:42" x14ac:dyDescent="0.35">
      <c r="A32" t="s">
        <v>14</v>
      </c>
      <c r="B32" t="s">
        <v>26</v>
      </c>
      <c r="C32" t="s">
        <v>48</v>
      </c>
      <c r="D32" s="2">
        <v>60</v>
      </c>
      <c r="E32">
        <v>20</v>
      </c>
      <c r="F32">
        <v>20</v>
      </c>
      <c r="G32">
        <v>20</v>
      </c>
      <c r="H32">
        <v>20</v>
      </c>
      <c r="I32">
        <v>20</v>
      </c>
      <c r="J32">
        <v>20</v>
      </c>
      <c r="K32">
        <v>25</v>
      </c>
      <c r="L32">
        <v>25</v>
      </c>
      <c r="M32">
        <v>25</v>
      </c>
      <c r="N32">
        <v>25</v>
      </c>
      <c r="O32">
        <v>25</v>
      </c>
      <c r="P32">
        <v>25</v>
      </c>
      <c r="Q32" s="3">
        <f t="shared" si="0"/>
        <v>1200</v>
      </c>
      <c r="R32" s="3">
        <f t="shared" si="0"/>
        <v>1200</v>
      </c>
      <c r="S32" s="3">
        <f t="shared" si="0"/>
        <v>1200</v>
      </c>
      <c r="T32" s="3">
        <f t="shared" si="0"/>
        <v>1200</v>
      </c>
      <c r="U32" s="3">
        <f t="shared" si="0"/>
        <v>1200</v>
      </c>
      <c r="V32" s="3">
        <f t="shared" si="0"/>
        <v>1200</v>
      </c>
      <c r="W32" s="3">
        <f t="shared" si="1"/>
        <v>1500</v>
      </c>
      <c r="X32" s="3">
        <f t="shared" si="1"/>
        <v>1500</v>
      </c>
      <c r="Y32" s="3">
        <f t="shared" si="1"/>
        <v>1500</v>
      </c>
      <c r="Z32" s="3">
        <f t="shared" si="1"/>
        <v>1500</v>
      </c>
      <c r="AA32" s="3">
        <f t="shared" si="1"/>
        <v>1500</v>
      </c>
      <c r="AB32" s="3">
        <f t="shared" si="1"/>
        <v>1500</v>
      </c>
      <c r="AC32" s="5">
        <f t="shared" si="2"/>
        <v>120</v>
      </c>
      <c r="AD32" s="5">
        <f t="shared" si="3"/>
        <v>150</v>
      </c>
      <c r="AE32" s="5">
        <f t="shared" si="4"/>
        <v>7200</v>
      </c>
      <c r="AF32" s="5">
        <f t="shared" si="5"/>
        <v>9000</v>
      </c>
      <c r="AG32" s="5">
        <f t="shared" si="6"/>
        <v>-1800</v>
      </c>
      <c r="AH32">
        <f t="shared" si="7"/>
        <v>1.25</v>
      </c>
      <c r="AI32" s="5">
        <f t="shared" si="8"/>
        <v>-30</v>
      </c>
      <c r="AJ32" t="s">
        <v>84</v>
      </c>
      <c r="AK32">
        <v>6</v>
      </c>
      <c r="AL32">
        <v>430</v>
      </c>
      <c r="AM32">
        <v>369</v>
      </c>
      <c r="AN32">
        <v>29080</v>
      </c>
      <c r="AO32">
        <v>23040</v>
      </c>
      <c r="AP32">
        <f t="shared" si="9"/>
        <v>6040</v>
      </c>
    </row>
    <row r="33" spans="1:35" x14ac:dyDescent="0.35">
      <c r="A33" t="s">
        <v>14</v>
      </c>
      <c r="B33" t="s">
        <v>27</v>
      </c>
      <c r="C33" t="s">
        <v>50</v>
      </c>
      <c r="D33" s="2">
        <v>140</v>
      </c>
      <c r="E33">
        <v>40</v>
      </c>
      <c r="F33">
        <v>40</v>
      </c>
      <c r="G33">
        <v>40</v>
      </c>
      <c r="H33">
        <v>40</v>
      </c>
      <c r="I33">
        <v>40</v>
      </c>
      <c r="J33">
        <v>40</v>
      </c>
      <c r="K33">
        <v>50</v>
      </c>
      <c r="L33">
        <v>50</v>
      </c>
      <c r="M33">
        <v>50</v>
      </c>
      <c r="N33">
        <v>25</v>
      </c>
      <c r="O33">
        <v>25</v>
      </c>
      <c r="P33">
        <v>25</v>
      </c>
      <c r="Q33" s="3">
        <f t="shared" si="0"/>
        <v>5600</v>
      </c>
      <c r="R33" s="3">
        <f t="shared" si="0"/>
        <v>5600</v>
      </c>
      <c r="S33" s="3">
        <f t="shared" si="0"/>
        <v>5600</v>
      </c>
      <c r="T33" s="3">
        <f t="shared" si="0"/>
        <v>5600</v>
      </c>
      <c r="U33" s="3">
        <f t="shared" si="0"/>
        <v>5600</v>
      </c>
      <c r="V33" s="3">
        <f t="shared" si="0"/>
        <v>5600</v>
      </c>
      <c r="W33" s="3">
        <f t="shared" si="1"/>
        <v>7000</v>
      </c>
      <c r="X33" s="3">
        <f t="shared" si="1"/>
        <v>7000</v>
      </c>
      <c r="Y33" s="3">
        <f t="shared" si="1"/>
        <v>7000</v>
      </c>
      <c r="Z33" s="3">
        <f t="shared" si="1"/>
        <v>3500</v>
      </c>
      <c r="AA33" s="3">
        <f t="shared" si="1"/>
        <v>3500</v>
      </c>
      <c r="AB33" s="3">
        <f t="shared" si="1"/>
        <v>3500</v>
      </c>
      <c r="AC33" s="5">
        <f t="shared" si="2"/>
        <v>240</v>
      </c>
      <c r="AD33" s="5">
        <f t="shared" si="3"/>
        <v>225</v>
      </c>
      <c r="AE33" s="5">
        <f t="shared" si="4"/>
        <v>33600</v>
      </c>
      <c r="AF33" s="5">
        <f t="shared" si="5"/>
        <v>31500</v>
      </c>
      <c r="AG33" s="5">
        <f t="shared" si="6"/>
        <v>2100</v>
      </c>
      <c r="AH33">
        <f t="shared" si="7"/>
        <v>0.9375</v>
      </c>
      <c r="AI33" s="5">
        <f t="shared" si="8"/>
        <v>15</v>
      </c>
    </row>
    <row r="34" spans="1:35" x14ac:dyDescent="0.35">
      <c r="A34" t="s">
        <v>14</v>
      </c>
      <c r="B34" t="s">
        <v>27</v>
      </c>
      <c r="C34" t="s">
        <v>47</v>
      </c>
      <c r="D34" s="2">
        <v>50</v>
      </c>
      <c r="E34">
        <v>10</v>
      </c>
      <c r="F34">
        <v>10</v>
      </c>
      <c r="G34">
        <v>10</v>
      </c>
      <c r="H34">
        <v>10</v>
      </c>
      <c r="I34">
        <v>10</v>
      </c>
      <c r="J34">
        <v>10</v>
      </c>
      <c r="K34">
        <v>12</v>
      </c>
      <c r="L34">
        <v>12</v>
      </c>
      <c r="M34">
        <v>12</v>
      </c>
      <c r="N34">
        <v>12</v>
      </c>
      <c r="O34">
        <v>12</v>
      </c>
      <c r="P34">
        <v>12</v>
      </c>
      <c r="Q34" s="3">
        <f t="shared" si="0"/>
        <v>500</v>
      </c>
      <c r="R34" s="3">
        <f t="shared" si="0"/>
        <v>500</v>
      </c>
      <c r="S34" s="3">
        <f t="shared" si="0"/>
        <v>500</v>
      </c>
      <c r="T34" s="3">
        <f t="shared" si="0"/>
        <v>500</v>
      </c>
      <c r="U34" s="3">
        <f t="shared" si="0"/>
        <v>500</v>
      </c>
      <c r="V34" s="3">
        <f t="shared" si="0"/>
        <v>500</v>
      </c>
      <c r="W34" s="3">
        <f t="shared" si="1"/>
        <v>600</v>
      </c>
      <c r="X34" s="3">
        <f t="shared" si="1"/>
        <v>600</v>
      </c>
      <c r="Y34" s="3">
        <f t="shared" si="1"/>
        <v>600</v>
      </c>
      <c r="Z34" s="3">
        <f t="shared" si="1"/>
        <v>600</v>
      </c>
      <c r="AA34" s="3">
        <f t="shared" si="1"/>
        <v>600</v>
      </c>
      <c r="AB34" s="3">
        <f t="shared" si="1"/>
        <v>600</v>
      </c>
      <c r="AC34" s="5">
        <f t="shared" si="2"/>
        <v>60</v>
      </c>
      <c r="AD34" s="5">
        <f t="shared" si="3"/>
        <v>72</v>
      </c>
      <c r="AE34" s="5">
        <f t="shared" si="4"/>
        <v>3000</v>
      </c>
      <c r="AF34" s="5">
        <f t="shared" si="5"/>
        <v>3600</v>
      </c>
      <c r="AG34" s="5">
        <f t="shared" si="6"/>
        <v>-600</v>
      </c>
      <c r="AH34">
        <f t="shared" si="7"/>
        <v>1.2</v>
      </c>
      <c r="AI34" s="5">
        <f t="shared" si="8"/>
        <v>-12</v>
      </c>
    </row>
    <row r="35" spans="1:35" x14ac:dyDescent="0.35">
      <c r="A35" t="s">
        <v>15</v>
      </c>
      <c r="B35" t="s">
        <v>28</v>
      </c>
      <c r="C35" t="s">
        <v>42</v>
      </c>
      <c r="D35" s="2">
        <v>90</v>
      </c>
      <c r="E35">
        <v>20</v>
      </c>
      <c r="F35">
        <v>20</v>
      </c>
      <c r="G35">
        <v>20</v>
      </c>
      <c r="H35">
        <v>20</v>
      </c>
      <c r="I35">
        <v>20</v>
      </c>
      <c r="J35">
        <v>20</v>
      </c>
      <c r="K35">
        <v>15</v>
      </c>
      <c r="L35">
        <v>15</v>
      </c>
      <c r="M35">
        <v>15</v>
      </c>
      <c r="N35">
        <v>15</v>
      </c>
      <c r="O35">
        <v>15</v>
      </c>
      <c r="P35">
        <v>15</v>
      </c>
      <c r="Q35" s="3">
        <f t="shared" ref="Q35:V55" si="10">E35*$D35</f>
        <v>1800</v>
      </c>
      <c r="R35" s="3">
        <f t="shared" si="10"/>
        <v>1800</v>
      </c>
      <c r="S35" s="3">
        <f t="shared" si="10"/>
        <v>1800</v>
      </c>
      <c r="T35" s="3">
        <f t="shared" si="10"/>
        <v>1800</v>
      </c>
      <c r="U35" s="3">
        <f t="shared" si="10"/>
        <v>1800</v>
      </c>
      <c r="V35" s="3">
        <f t="shared" si="10"/>
        <v>1800</v>
      </c>
      <c r="W35" s="3">
        <f t="shared" ref="W35:AB55" si="11">$D35*K35</f>
        <v>1350</v>
      </c>
      <c r="X35" s="3">
        <f t="shared" si="11"/>
        <v>1350</v>
      </c>
      <c r="Y35" s="3">
        <f t="shared" si="11"/>
        <v>1350</v>
      </c>
      <c r="Z35" s="3">
        <f t="shared" si="11"/>
        <v>1350</v>
      </c>
      <c r="AA35" s="3">
        <f t="shared" si="11"/>
        <v>1350</v>
      </c>
      <c r="AB35" s="3">
        <f t="shared" si="11"/>
        <v>1350</v>
      </c>
      <c r="AC35" s="5">
        <f t="shared" si="2"/>
        <v>120</v>
      </c>
      <c r="AD35" s="5">
        <f t="shared" si="3"/>
        <v>90</v>
      </c>
      <c r="AE35" s="5">
        <f t="shared" si="4"/>
        <v>10800</v>
      </c>
      <c r="AF35" s="5">
        <f t="shared" si="5"/>
        <v>8100</v>
      </c>
      <c r="AG35" s="5">
        <f t="shared" si="6"/>
        <v>2700</v>
      </c>
      <c r="AH35">
        <f t="shared" si="7"/>
        <v>0.75</v>
      </c>
      <c r="AI35" s="5">
        <f t="shared" si="8"/>
        <v>30</v>
      </c>
    </row>
    <row r="36" spans="1:35" x14ac:dyDescent="0.35">
      <c r="A36" t="s">
        <v>15</v>
      </c>
      <c r="B36" t="s">
        <v>28</v>
      </c>
      <c r="C36" t="s">
        <v>43</v>
      </c>
      <c r="D36" s="2">
        <v>95</v>
      </c>
      <c r="E36">
        <v>160</v>
      </c>
      <c r="F36">
        <v>160</v>
      </c>
      <c r="G36">
        <v>160</v>
      </c>
      <c r="H36">
        <v>160</v>
      </c>
      <c r="I36">
        <v>160</v>
      </c>
      <c r="J36">
        <v>160</v>
      </c>
      <c r="K36">
        <v>110</v>
      </c>
      <c r="L36">
        <v>110</v>
      </c>
      <c r="M36">
        <v>110</v>
      </c>
      <c r="N36">
        <v>110</v>
      </c>
      <c r="O36">
        <v>110</v>
      </c>
      <c r="P36">
        <v>110</v>
      </c>
      <c r="Q36" s="3">
        <f t="shared" si="10"/>
        <v>15200</v>
      </c>
      <c r="R36" s="3">
        <f t="shared" si="10"/>
        <v>15200</v>
      </c>
      <c r="S36" s="3">
        <f t="shared" si="10"/>
        <v>15200</v>
      </c>
      <c r="T36" s="3">
        <f t="shared" si="10"/>
        <v>15200</v>
      </c>
      <c r="U36" s="3">
        <f t="shared" si="10"/>
        <v>15200</v>
      </c>
      <c r="V36" s="3">
        <f t="shared" si="10"/>
        <v>15200</v>
      </c>
      <c r="W36" s="3">
        <f t="shared" si="11"/>
        <v>10450</v>
      </c>
      <c r="X36" s="3">
        <f t="shared" si="11"/>
        <v>10450</v>
      </c>
      <c r="Y36" s="3">
        <f t="shared" si="11"/>
        <v>10450</v>
      </c>
      <c r="Z36" s="3">
        <f t="shared" si="11"/>
        <v>10450</v>
      </c>
      <c r="AA36" s="3">
        <f t="shared" si="11"/>
        <v>10450</v>
      </c>
      <c r="AB36" s="3">
        <f t="shared" si="11"/>
        <v>10450</v>
      </c>
      <c r="AC36" s="5">
        <f t="shared" si="2"/>
        <v>960</v>
      </c>
      <c r="AD36" s="5">
        <f t="shared" si="3"/>
        <v>660</v>
      </c>
      <c r="AE36" s="5">
        <f t="shared" si="4"/>
        <v>91200</v>
      </c>
      <c r="AF36" s="5">
        <f t="shared" si="5"/>
        <v>62700</v>
      </c>
      <c r="AG36" s="5">
        <f t="shared" si="6"/>
        <v>28500</v>
      </c>
      <c r="AH36">
        <f t="shared" si="7"/>
        <v>0.6875</v>
      </c>
      <c r="AI36" s="5">
        <f t="shared" si="8"/>
        <v>300</v>
      </c>
    </row>
    <row r="37" spans="1:35" x14ac:dyDescent="0.35">
      <c r="A37" t="s">
        <v>15</v>
      </c>
      <c r="B37" t="s">
        <v>28</v>
      </c>
      <c r="C37" t="s">
        <v>48</v>
      </c>
      <c r="D37" s="2">
        <v>60</v>
      </c>
      <c r="E37">
        <v>20</v>
      </c>
      <c r="F37">
        <v>20</v>
      </c>
      <c r="G37">
        <v>20</v>
      </c>
      <c r="H37">
        <v>20</v>
      </c>
      <c r="I37">
        <v>20</v>
      </c>
      <c r="J37">
        <v>20</v>
      </c>
      <c r="K37">
        <v>25</v>
      </c>
      <c r="L37">
        <v>25</v>
      </c>
      <c r="M37">
        <v>25</v>
      </c>
      <c r="N37">
        <v>25</v>
      </c>
      <c r="O37">
        <v>25</v>
      </c>
      <c r="P37">
        <v>25</v>
      </c>
      <c r="Q37" s="3">
        <f t="shared" si="10"/>
        <v>1200</v>
      </c>
      <c r="R37" s="3">
        <f t="shared" si="10"/>
        <v>1200</v>
      </c>
      <c r="S37" s="3">
        <f t="shared" si="10"/>
        <v>1200</v>
      </c>
      <c r="T37" s="3">
        <f t="shared" si="10"/>
        <v>1200</v>
      </c>
      <c r="U37" s="3">
        <f t="shared" si="10"/>
        <v>1200</v>
      </c>
      <c r="V37" s="3">
        <f t="shared" si="10"/>
        <v>1200</v>
      </c>
      <c r="W37" s="3">
        <f t="shared" si="11"/>
        <v>1500</v>
      </c>
      <c r="X37" s="3">
        <f t="shared" si="11"/>
        <v>1500</v>
      </c>
      <c r="Y37" s="3">
        <f t="shared" si="11"/>
        <v>1500</v>
      </c>
      <c r="Z37" s="3">
        <f t="shared" si="11"/>
        <v>1500</v>
      </c>
      <c r="AA37" s="3">
        <f t="shared" si="11"/>
        <v>1500</v>
      </c>
      <c r="AB37" s="3">
        <f t="shared" si="11"/>
        <v>1500</v>
      </c>
      <c r="AC37" s="5">
        <f t="shared" si="2"/>
        <v>120</v>
      </c>
      <c r="AD37" s="5">
        <f t="shared" si="3"/>
        <v>150</v>
      </c>
      <c r="AE37" s="5">
        <f t="shared" si="4"/>
        <v>7200</v>
      </c>
      <c r="AF37" s="5">
        <f t="shared" si="5"/>
        <v>9000</v>
      </c>
      <c r="AG37" s="5">
        <f t="shared" si="6"/>
        <v>-1800</v>
      </c>
      <c r="AH37">
        <f t="shared" si="7"/>
        <v>1.25</v>
      </c>
      <c r="AI37" s="5">
        <f t="shared" si="8"/>
        <v>-30</v>
      </c>
    </row>
    <row r="38" spans="1:35" x14ac:dyDescent="0.35">
      <c r="A38" t="s">
        <v>15</v>
      </c>
      <c r="B38" t="s">
        <v>28</v>
      </c>
      <c r="C38" t="s">
        <v>49</v>
      </c>
      <c r="D38" s="2">
        <v>120</v>
      </c>
      <c r="E38">
        <v>30</v>
      </c>
      <c r="F38">
        <v>30</v>
      </c>
      <c r="G38">
        <v>30</v>
      </c>
      <c r="H38">
        <v>30</v>
      </c>
      <c r="I38">
        <v>30</v>
      </c>
      <c r="J38">
        <v>30</v>
      </c>
      <c r="K38">
        <v>30</v>
      </c>
      <c r="L38">
        <v>30</v>
      </c>
      <c r="M38">
        <v>30</v>
      </c>
      <c r="N38">
        <v>30</v>
      </c>
      <c r="O38">
        <v>30</v>
      </c>
      <c r="P38">
        <v>30</v>
      </c>
      <c r="Q38" s="3">
        <f t="shared" si="10"/>
        <v>3600</v>
      </c>
      <c r="R38" s="3">
        <f t="shared" si="10"/>
        <v>3600</v>
      </c>
      <c r="S38" s="3">
        <f t="shared" si="10"/>
        <v>3600</v>
      </c>
      <c r="T38" s="3">
        <f t="shared" si="10"/>
        <v>3600</v>
      </c>
      <c r="U38" s="3">
        <f t="shared" si="10"/>
        <v>3600</v>
      </c>
      <c r="V38" s="3">
        <f t="shared" si="10"/>
        <v>3600</v>
      </c>
      <c r="W38" s="3">
        <f t="shared" si="11"/>
        <v>3600</v>
      </c>
      <c r="X38" s="3">
        <f t="shared" si="11"/>
        <v>3600</v>
      </c>
      <c r="Y38" s="3">
        <f t="shared" si="11"/>
        <v>3600</v>
      </c>
      <c r="Z38" s="3">
        <f t="shared" si="11"/>
        <v>3600</v>
      </c>
      <c r="AA38" s="3">
        <f t="shared" si="11"/>
        <v>3600</v>
      </c>
      <c r="AB38" s="3">
        <f t="shared" si="11"/>
        <v>3600</v>
      </c>
      <c r="AC38" s="5">
        <f t="shared" si="2"/>
        <v>180</v>
      </c>
      <c r="AD38" s="5">
        <f t="shared" si="3"/>
        <v>180</v>
      </c>
      <c r="AE38" s="5">
        <f t="shared" si="4"/>
        <v>21600</v>
      </c>
      <c r="AF38" s="5">
        <f t="shared" si="5"/>
        <v>21600</v>
      </c>
      <c r="AG38" s="5">
        <f t="shared" si="6"/>
        <v>0</v>
      </c>
      <c r="AH38">
        <f t="shared" si="7"/>
        <v>1</v>
      </c>
      <c r="AI38" s="5">
        <f t="shared" si="8"/>
        <v>0</v>
      </c>
    </row>
    <row r="39" spans="1:35" x14ac:dyDescent="0.35">
      <c r="A39" t="s">
        <v>15</v>
      </c>
      <c r="B39" t="s">
        <v>29</v>
      </c>
      <c r="C39" t="s">
        <v>46</v>
      </c>
      <c r="D39" s="2">
        <v>75</v>
      </c>
      <c r="E39">
        <v>80</v>
      </c>
      <c r="F39">
        <v>80</v>
      </c>
      <c r="G39">
        <v>80</v>
      </c>
      <c r="H39">
        <v>80</v>
      </c>
      <c r="I39">
        <v>80</v>
      </c>
      <c r="J39">
        <v>80</v>
      </c>
      <c r="K39">
        <v>80</v>
      </c>
      <c r="L39">
        <v>80</v>
      </c>
      <c r="M39">
        <v>80</v>
      </c>
      <c r="N39">
        <v>80</v>
      </c>
      <c r="O39">
        <v>80</v>
      </c>
      <c r="P39">
        <v>80</v>
      </c>
      <c r="Q39" s="3">
        <f t="shared" si="10"/>
        <v>6000</v>
      </c>
      <c r="R39" s="3">
        <f t="shared" si="10"/>
        <v>6000</v>
      </c>
      <c r="S39" s="3">
        <f t="shared" si="10"/>
        <v>6000</v>
      </c>
      <c r="T39" s="3">
        <f t="shared" si="10"/>
        <v>6000</v>
      </c>
      <c r="U39" s="3">
        <f t="shared" si="10"/>
        <v>6000</v>
      </c>
      <c r="V39" s="3">
        <f t="shared" si="10"/>
        <v>6000</v>
      </c>
      <c r="W39" s="3">
        <f t="shared" si="11"/>
        <v>6000</v>
      </c>
      <c r="X39" s="3">
        <f t="shared" si="11"/>
        <v>6000</v>
      </c>
      <c r="Y39" s="3">
        <f t="shared" si="11"/>
        <v>6000</v>
      </c>
      <c r="Z39" s="3">
        <f t="shared" si="11"/>
        <v>6000</v>
      </c>
      <c r="AA39" s="3">
        <f t="shared" si="11"/>
        <v>6000</v>
      </c>
      <c r="AB39" s="3">
        <f t="shared" si="11"/>
        <v>6000</v>
      </c>
      <c r="AC39" s="5">
        <f t="shared" si="2"/>
        <v>480</v>
      </c>
      <c r="AD39" s="5">
        <f t="shared" si="3"/>
        <v>480</v>
      </c>
      <c r="AE39" s="5">
        <f t="shared" si="4"/>
        <v>36000</v>
      </c>
      <c r="AF39" s="5">
        <f t="shared" si="5"/>
        <v>36000</v>
      </c>
      <c r="AG39" s="5">
        <f t="shared" si="6"/>
        <v>0</v>
      </c>
      <c r="AH39">
        <f t="shared" si="7"/>
        <v>1</v>
      </c>
      <c r="AI39" s="5">
        <f t="shared" si="8"/>
        <v>0</v>
      </c>
    </row>
    <row r="40" spans="1:35" x14ac:dyDescent="0.35">
      <c r="A40" t="s">
        <v>15</v>
      </c>
      <c r="B40" t="s">
        <v>29</v>
      </c>
      <c r="C40" t="s">
        <v>47</v>
      </c>
      <c r="D40" s="2">
        <v>50</v>
      </c>
      <c r="E40">
        <v>10</v>
      </c>
      <c r="F40">
        <v>10</v>
      </c>
      <c r="G40">
        <v>10</v>
      </c>
      <c r="H40">
        <v>10</v>
      </c>
      <c r="I40">
        <v>10</v>
      </c>
      <c r="J40">
        <v>10</v>
      </c>
      <c r="K40">
        <v>12</v>
      </c>
      <c r="L40">
        <v>12</v>
      </c>
      <c r="M40">
        <v>12</v>
      </c>
      <c r="N40">
        <v>12</v>
      </c>
      <c r="O40">
        <v>12</v>
      </c>
      <c r="P40">
        <v>12</v>
      </c>
      <c r="Q40" s="3">
        <f t="shared" si="10"/>
        <v>500</v>
      </c>
      <c r="R40" s="3">
        <f t="shared" si="10"/>
        <v>500</v>
      </c>
      <c r="S40" s="3">
        <f t="shared" si="10"/>
        <v>500</v>
      </c>
      <c r="T40" s="3">
        <f t="shared" si="10"/>
        <v>500</v>
      </c>
      <c r="U40" s="3">
        <f t="shared" si="10"/>
        <v>500</v>
      </c>
      <c r="V40" s="3">
        <f t="shared" si="10"/>
        <v>500</v>
      </c>
      <c r="W40" s="3">
        <f t="shared" si="11"/>
        <v>600</v>
      </c>
      <c r="X40" s="3">
        <f t="shared" si="11"/>
        <v>600</v>
      </c>
      <c r="Y40" s="3">
        <f t="shared" si="11"/>
        <v>600</v>
      </c>
      <c r="Z40" s="3">
        <f t="shared" si="11"/>
        <v>600</v>
      </c>
      <c r="AA40" s="3">
        <f t="shared" si="11"/>
        <v>600</v>
      </c>
      <c r="AB40" s="3">
        <f t="shared" si="11"/>
        <v>600</v>
      </c>
      <c r="AC40" s="5">
        <f t="shared" si="2"/>
        <v>60</v>
      </c>
      <c r="AD40" s="5">
        <f t="shared" si="3"/>
        <v>72</v>
      </c>
      <c r="AE40" s="5">
        <f t="shared" si="4"/>
        <v>3000</v>
      </c>
      <c r="AF40" s="5">
        <f t="shared" si="5"/>
        <v>3600</v>
      </c>
      <c r="AG40" s="5">
        <f t="shared" si="6"/>
        <v>-600</v>
      </c>
      <c r="AH40">
        <f t="shared" si="7"/>
        <v>1.2</v>
      </c>
      <c r="AI40" s="5">
        <f t="shared" si="8"/>
        <v>-12</v>
      </c>
    </row>
    <row r="41" spans="1:35" x14ac:dyDescent="0.35">
      <c r="A41" t="s">
        <v>15</v>
      </c>
      <c r="B41" t="s">
        <v>29</v>
      </c>
      <c r="C41" t="s">
        <v>48</v>
      </c>
      <c r="D41" s="2">
        <v>60</v>
      </c>
      <c r="E41">
        <v>20</v>
      </c>
      <c r="F41">
        <v>20</v>
      </c>
      <c r="G41">
        <v>20</v>
      </c>
      <c r="H41">
        <v>20</v>
      </c>
      <c r="I41">
        <v>20</v>
      </c>
      <c r="J41">
        <v>20</v>
      </c>
      <c r="K41">
        <v>25</v>
      </c>
      <c r="L41">
        <v>25</v>
      </c>
      <c r="M41">
        <v>25</v>
      </c>
      <c r="N41">
        <v>25</v>
      </c>
      <c r="O41">
        <v>25</v>
      </c>
      <c r="P41">
        <v>25</v>
      </c>
      <c r="Q41" s="3">
        <f t="shared" si="10"/>
        <v>1200</v>
      </c>
      <c r="R41" s="3">
        <f t="shared" si="10"/>
        <v>1200</v>
      </c>
      <c r="S41" s="3">
        <f t="shared" si="10"/>
        <v>1200</v>
      </c>
      <c r="T41" s="3">
        <f t="shared" si="10"/>
        <v>1200</v>
      </c>
      <c r="U41" s="3">
        <f t="shared" si="10"/>
        <v>1200</v>
      </c>
      <c r="V41" s="3">
        <f t="shared" si="10"/>
        <v>1200</v>
      </c>
      <c r="W41" s="3">
        <f t="shared" si="11"/>
        <v>1500</v>
      </c>
      <c r="X41" s="3">
        <f t="shared" si="11"/>
        <v>1500</v>
      </c>
      <c r="Y41" s="3">
        <f t="shared" si="11"/>
        <v>1500</v>
      </c>
      <c r="Z41" s="3">
        <f t="shared" si="11"/>
        <v>1500</v>
      </c>
      <c r="AA41" s="3">
        <f t="shared" si="11"/>
        <v>1500</v>
      </c>
      <c r="AB41" s="3">
        <f t="shared" si="11"/>
        <v>1500</v>
      </c>
      <c r="AC41" s="5">
        <f t="shared" si="2"/>
        <v>120</v>
      </c>
      <c r="AD41" s="5">
        <f t="shared" si="3"/>
        <v>150</v>
      </c>
      <c r="AE41" s="5">
        <f t="shared" si="4"/>
        <v>7200</v>
      </c>
      <c r="AF41" s="5">
        <f t="shared" si="5"/>
        <v>9000</v>
      </c>
      <c r="AG41" s="5">
        <f t="shared" si="6"/>
        <v>-1800</v>
      </c>
      <c r="AH41">
        <f t="shared" si="7"/>
        <v>1.25</v>
      </c>
      <c r="AI41" s="5">
        <f t="shared" si="8"/>
        <v>-30</v>
      </c>
    </row>
    <row r="42" spans="1:35" x14ac:dyDescent="0.35">
      <c r="A42" t="s">
        <v>15</v>
      </c>
      <c r="B42" t="s">
        <v>29</v>
      </c>
      <c r="C42" t="s">
        <v>49</v>
      </c>
      <c r="D42" s="2">
        <v>120</v>
      </c>
      <c r="E42">
        <v>30</v>
      </c>
      <c r="F42">
        <v>30</v>
      </c>
      <c r="G42">
        <v>30</v>
      </c>
      <c r="H42">
        <v>30</v>
      </c>
      <c r="I42">
        <v>30</v>
      </c>
      <c r="J42">
        <v>30</v>
      </c>
      <c r="K42">
        <v>30</v>
      </c>
      <c r="L42">
        <v>30</v>
      </c>
      <c r="M42">
        <v>30</v>
      </c>
      <c r="N42">
        <v>30</v>
      </c>
      <c r="O42">
        <v>30</v>
      </c>
      <c r="P42">
        <v>30</v>
      </c>
      <c r="Q42" s="3">
        <f t="shared" si="10"/>
        <v>3600</v>
      </c>
      <c r="R42" s="3">
        <f t="shared" si="10"/>
        <v>3600</v>
      </c>
      <c r="S42" s="3">
        <f t="shared" si="10"/>
        <v>3600</v>
      </c>
      <c r="T42" s="3">
        <f t="shared" si="10"/>
        <v>3600</v>
      </c>
      <c r="U42" s="3">
        <f t="shared" si="10"/>
        <v>3600</v>
      </c>
      <c r="V42" s="3">
        <f t="shared" si="10"/>
        <v>3600</v>
      </c>
      <c r="W42" s="3">
        <f t="shared" si="11"/>
        <v>3600</v>
      </c>
      <c r="X42" s="3">
        <f t="shared" si="11"/>
        <v>3600</v>
      </c>
      <c r="Y42" s="3">
        <f t="shared" si="11"/>
        <v>3600</v>
      </c>
      <c r="Z42" s="3">
        <f t="shared" si="11"/>
        <v>3600</v>
      </c>
      <c r="AA42" s="3">
        <f t="shared" si="11"/>
        <v>3600</v>
      </c>
      <c r="AB42" s="3">
        <f t="shared" si="11"/>
        <v>3600</v>
      </c>
      <c r="AC42" s="5">
        <f t="shared" si="2"/>
        <v>180</v>
      </c>
      <c r="AD42" s="5">
        <f t="shared" si="3"/>
        <v>180</v>
      </c>
      <c r="AE42" s="5">
        <f t="shared" si="4"/>
        <v>21600</v>
      </c>
      <c r="AF42" s="5">
        <f t="shared" si="5"/>
        <v>21600</v>
      </c>
      <c r="AG42" s="5">
        <f t="shared" si="6"/>
        <v>0</v>
      </c>
      <c r="AH42">
        <f t="shared" si="7"/>
        <v>1</v>
      </c>
      <c r="AI42" s="5">
        <f t="shared" si="8"/>
        <v>0</v>
      </c>
    </row>
    <row r="43" spans="1:35" x14ac:dyDescent="0.35">
      <c r="A43" t="s">
        <v>15</v>
      </c>
      <c r="B43" t="s">
        <v>30</v>
      </c>
      <c r="C43" t="s">
        <v>46</v>
      </c>
      <c r="D43" s="2">
        <v>75</v>
      </c>
      <c r="E43">
        <v>80</v>
      </c>
      <c r="F43">
        <v>80</v>
      </c>
      <c r="G43">
        <v>80</v>
      </c>
      <c r="H43">
        <v>80</v>
      </c>
      <c r="I43">
        <v>80</v>
      </c>
      <c r="J43">
        <v>80</v>
      </c>
      <c r="K43">
        <v>90</v>
      </c>
      <c r="L43">
        <v>90</v>
      </c>
      <c r="M43">
        <v>90</v>
      </c>
      <c r="N43">
        <v>90</v>
      </c>
      <c r="O43">
        <v>90</v>
      </c>
      <c r="P43">
        <v>90</v>
      </c>
      <c r="Q43" s="3">
        <f t="shared" si="10"/>
        <v>6000</v>
      </c>
      <c r="R43" s="3">
        <f t="shared" si="10"/>
        <v>6000</v>
      </c>
      <c r="S43" s="3">
        <f t="shared" si="10"/>
        <v>6000</v>
      </c>
      <c r="T43" s="3">
        <f t="shared" si="10"/>
        <v>6000</v>
      </c>
      <c r="U43" s="3">
        <f t="shared" si="10"/>
        <v>6000</v>
      </c>
      <c r="V43" s="3">
        <f t="shared" si="10"/>
        <v>6000</v>
      </c>
      <c r="W43" s="3">
        <f t="shared" si="11"/>
        <v>6750</v>
      </c>
      <c r="X43" s="3">
        <f t="shared" si="11"/>
        <v>6750</v>
      </c>
      <c r="Y43" s="3">
        <f t="shared" si="11"/>
        <v>6750</v>
      </c>
      <c r="Z43" s="3">
        <f t="shared" si="11"/>
        <v>6750</v>
      </c>
      <c r="AA43" s="3">
        <f t="shared" si="11"/>
        <v>6750</v>
      </c>
      <c r="AB43" s="3">
        <f t="shared" si="11"/>
        <v>6750</v>
      </c>
      <c r="AC43" s="5">
        <f t="shared" si="2"/>
        <v>480</v>
      </c>
      <c r="AD43" s="5">
        <f t="shared" si="3"/>
        <v>540</v>
      </c>
      <c r="AE43" s="5">
        <f t="shared" si="4"/>
        <v>36000</v>
      </c>
      <c r="AF43" s="5">
        <f t="shared" si="5"/>
        <v>40500</v>
      </c>
      <c r="AG43" s="5">
        <f t="shared" si="6"/>
        <v>-4500</v>
      </c>
      <c r="AH43">
        <f t="shared" si="7"/>
        <v>1.125</v>
      </c>
      <c r="AI43" s="5">
        <f t="shared" si="8"/>
        <v>-60</v>
      </c>
    </row>
    <row r="44" spans="1:35" x14ac:dyDescent="0.35">
      <c r="A44" t="s">
        <v>15</v>
      </c>
      <c r="B44" t="s">
        <v>30</v>
      </c>
      <c r="C44" t="s">
        <v>47</v>
      </c>
      <c r="D44" s="2">
        <v>50</v>
      </c>
      <c r="E44">
        <v>10</v>
      </c>
      <c r="F44">
        <v>10</v>
      </c>
      <c r="G44">
        <v>10</v>
      </c>
      <c r="H44">
        <v>10</v>
      </c>
      <c r="I44">
        <v>10</v>
      </c>
      <c r="J44">
        <v>10</v>
      </c>
      <c r="K44">
        <v>12</v>
      </c>
      <c r="L44">
        <v>12</v>
      </c>
      <c r="M44">
        <v>12</v>
      </c>
      <c r="N44">
        <v>12</v>
      </c>
      <c r="O44">
        <v>12</v>
      </c>
      <c r="P44">
        <v>12</v>
      </c>
      <c r="Q44" s="3">
        <f t="shared" si="10"/>
        <v>500</v>
      </c>
      <c r="R44" s="3">
        <f t="shared" si="10"/>
        <v>500</v>
      </c>
      <c r="S44" s="3">
        <f t="shared" si="10"/>
        <v>500</v>
      </c>
      <c r="T44" s="3">
        <f t="shared" si="10"/>
        <v>500</v>
      </c>
      <c r="U44" s="3">
        <f t="shared" si="10"/>
        <v>500</v>
      </c>
      <c r="V44" s="3">
        <f t="shared" si="10"/>
        <v>500</v>
      </c>
      <c r="W44" s="3">
        <f t="shared" si="11"/>
        <v>600</v>
      </c>
      <c r="X44" s="3">
        <f t="shared" si="11"/>
        <v>600</v>
      </c>
      <c r="Y44" s="3">
        <f t="shared" si="11"/>
        <v>600</v>
      </c>
      <c r="Z44" s="3">
        <f t="shared" si="11"/>
        <v>600</v>
      </c>
      <c r="AA44" s="3">
        <f t="shared" si="11"/>
        <v>600</v>
      </c>
      <c r="AB44" s="3">
        <f t="shared" si="11"/>
        <v>600</v>
      </c>
      <c r="AC44" s="5">
        <f t="shared" si="2"/>
        <v>60</v>
      </c>
      <c r="AD44" s="5">
        <f t="shared" si="3"/>
        <v>72</v>
      </c>
      <c r="AE44" s="5">
        <f t="shared" si="4"/>
        <v>3000</v>
      </c>
      <c r="AF44" s="5">
        <f t="shared" si="5"/>
        <v>3600</v>
      </c>
      <c r="AG44" s="5">
        <f t="shared" si="6"/>
        <v>-600</v>
      </c>
      <c r="AH44">
        <f t="shared" si="7"/>
        <v>1.2</v>
      </c>
      <c r="AI44" s="5">
        <f t="shared" si="8"/>
        <v>-12</v>
      </c>
    </row>
    <row r="45" spans="1:35" x14ac:dyDescent="0.35">
      <c r="A45" t="s">
        <v>15</v>
      </c>
      <c r="B45" t="s">
        <v>30</v>
      </c>
      <c r="C45" t="s">
        <v>49</v>
      </c>
      <c r="D45" s="2">
        <v>120</v>
      </c>
      <c r="E45">
        <v>30</v>
      </c>
      <c r="F45">
        <v>30</v>
      </c>
      <c r="G45">
        <v>30</v>
      </c>
      <c r="H45">
        <v>30</v>
      </c>
      <c r="I45">
        <v>30</v>
      </c>
      <c r="J45">
        <v>30</v>
      </c>
      <c r="K45">
        <v>30</v>
      </c>
      <c r="L45">
        <v>30</v>
      </c>
      <c r="M45">
        <v>30</v>
      </c>
      <c r="N45">
        <v>30</v>
      </c>
      <c r="O45">
        <v>30</v>
      </c>
      <c r="P45">
        <v>30</v>
      </c>
      <c r="Q45" s="3">
        <f t="shared" si="10"/>
        <v>3600</v>
      </c>
      <c r="R45" s="3">
        <f t="shared" si="10"/>
        <v>3600</v>
      </c>
      <c r="S45" s="3">
        <f t="shared" si="10"/>
        <v>3600</v>
      </c>
      <c r="T45" s="3">
        <f t="shared" si="10"/>
        <v>3600</v>
      </c>
      <c r="U45" s="3">
        <f t="shared" si="10"/>
        <v>3600</v>
      </c>
      <c r="V45" s="3">
        <f t="shared" si="10"/>
        <v>3600</v>
      </c>
      <c r="W45" s="3">
        <f t="shared" si="11"/>
        <v>3600</v>
      </c>
      <c r="X45" s="3">
        <f t="shared" si="11"/>
        <v>3600</v>
      </c>
      <c r="Y45" s="3">
        <f t="shared" si="11"/>
        <v>3600</v>
      </c>
      <c r="Z45" s="3">
        <f t="shared" si="11"/>
        <v>3600</v>
      </c>
      <c r="AA45" s="3">
        <f t="shared" si="11"/>
        <v>3600</v>
      </c>
      <c r="AB45" s="3">
        <f t="shared" si="11"/>
        <v>3600</v>
      </c>
      <c r="AC45" s="5">
        <f t="shared" si="2"/>
        <v>180</v>
      </c>
      <c r="AD45" s="5">
        <f t="shared" si="3"/>
        <v>180</v>
      </c>
      <c r="AE45" s="5">
        <f t="shared" si="4"/>
        <v>21600</v>
      </c>
      <c r="AF45" s="5">
        <f t="shared" si="5"/>
        <v>21600</v>
      </c>
      <c r="AG45" s="5">
        <f t="shared" si="6"/>
        <v>0</v>
      </c>
      <c r="AH45">
        <f t="shared" si="7"/>
        <v>1</v>
      </c>
      <c r="AI45" s="5">
        <f t="shared" si="8"/>
        <v>0</v>
      </c>
    </row>
    <row r="46" spans="1:35" x14ac:dyDescent="0.35">
      <c r="A46" t="s">
        <v>15</v>
      </c>
      <c r="B46" t="s">
        <v>31</v>
      </c>
      <c r="C46" t="s">
        <v>47</v>
      </c>
      <c r="D46" s="2">
        <v>50</v>
      </c>
      <c r="E46">
        <v>10</v>
      </c>
      <c r="F46">
        <v>10</v>
      </c>
      <c r="G46">
        <v>10</v>
      </c>
      <c r="H46">
        <v>10</v>
      </c>
      <c r="I46">
        <v>10</v>
      </c>
      <c r="J46">
        <v>10</v>
      </c>
      <c r="K46">
        <v>12</v>
      </c>
      <c r="L46">
        <v>12</v>
      </c>
      <c r="M46">
        <v>12</v>
      </c>
      <c r="N46">
        <v>12</v>
      </c>
      <c r="O46">
        <v>12</v>
      </c>
      <c r="P46">
        <v>12</v>
      </c>
      <c r="Q46" s="3">
        <f t="shared" si="10"/>
        <v>500</v>
      </c>
      <c r="R46" s="3">
        <f t="shared" si="10"/>
        <v>500</v>
      </c>
      <c r="S46" s="3">
        <f t="shared" si="10"/>
        <v>500</v>
      </c>
      <c r="T46" s="3">
        <f t="shared" si="10"/>
        <v>500</v>
      </c>
      <c r="U46" s="3">
        <f t="shared" si="10"/>
        <v>500</v>
      </c>
      <c r="V46" s="3">
        <f t="shared" si="10"/>
        <v>500</v>
      </c>
      <c r="W46" s="3">
        <f t="shared" si="11"/>
        <v>600</v>
      </c>
      <c r="X46" s="3">
        <f t="shared" si="11"/>
        <v>600</v>
      </c>
      <c r="Y46" s="3">
        <f t="shared" si="11"/>
        <v>600</v>
      </c>
      <c r="Z46" s="3">
        <f t="shared" si="11"/>
        <v>600</v>
      </c>
      <c r="AA46" s="3">
        <f t="shared" si="11"/>
        <v>600</v>
      </c>
      <c r="AB46" s="3">
        <f t="shared" si="11"/>
        <v>600</v>
      </c>
      <c r="AC46" s="5">
        <f t="shared" si="2"/>
        <v>60</v>
      </c>
      <c r="AD46" s="5">
        <f t="shared" si="3"/>
        <v>72</v>
      </c>
      <c r="AE46" s="5">
        <f t="shared" si="4"/>
        <v>3000</v>
      </c>
      <c r="AF46" s="5">
        <f t="shared" si="5"/>
        <v>3600</v>
      </c>
      <c r="AG46" s="5">
        <f t="shared" si="6"/>
        <v>-600</v>
      </c>
      <c r="AH46">
        <f t="shared" si="7"/>
        <v>1.2</v>
      </c>
      <c r="AI46" s="5">
        <f t="shared" si="8"/>
        <v>-12</v>
      </c>
    </row>
    <row r="47" spans="1:35" x14ac:dyDescent="0.35">
      <c r="A47" t="s">
        <v>15</v>
      </c>
      <c r="B47" t="s">
        <v>31</v>
      </c>
      <c r="C47" t="s">
        <v>48</v>
      </c>
      <c r="D47" s="2">
        <v>60</v>
      </c>
      <c r="E47">
        <v>20</v>
      </c>
      <c r="F47">
        <v>20</v>
      </c>
      <c r="G47">
        <v>20</v>
      </c>
      <c r="H47">
        <v>20</v>
      </c>
      <c r="I47">
        <v>20</v>
      </c>
      <c r="J47">
        <v>20</v>
      </c>
      <c r="K47">
        <v>25</v>
      </c>
      <c r="L47">
        <v>25</v>
      </c>
      <c r="M47">
        <v>25</v>
      </c>
      <c r="N47">
        <v>25</v>
      </c>
      <c r="O47">
        <v>25</v>
      </c>
      <c r="P47">
        <v>25</v>
      </c>
      <c r="Q47" s="3">
        <f t="shared" si="10"/>
        <v>1200</v>
      </c>
      <c r="R47" s="3">
        <f t="shared" si="10"/>
        <v>1200</v>
      </c>
      <c r="S47" s="3">
        <f t="shared" si="10"/>
        <v>1200</v>
      </c>
      <c r="T47" s="3">
        <f t="shared" si="10"/>
        <v>1200</v>
      </c>
      <c r="U47" s="3">
        <f t="shared" si="10"/>
        <v>1200</v>
      </c>
      <c r="V47" s="3">
        <f t="shared" si="10"/>
        <v>1200</v>
      </c>
      <c r="W47" s="3">
        <f t="shared" si="11"/>
        <v>1500</v>
      </c>
      <c r="X47" s="3">
        <f t="shared" si="11"/>
        <v>1500</v>
      </c>
      <c r="Y47" s="3">
        <f t="shared" si="11"/>
        <v>1500</v>
      </c>
      <c r="Z47" s="3">
        <f t="shared" si="11"/>
        <v>1500</v>
      </c>
      <c r="AA47" s="3">
        <f t="shared" si="11"/>
        <v>1500</v>
      </c>
      <c r="AB47" s="3">
        <f t="shared" si="11"/>
        <v>1500</v>
      </c>
      <c r="AC47" s="5">
        <f t="shared" si="2"/>
        <v>120</v>
      </c>
      <c r="AD47" s="5">
        <f t="shared" si="3"/>
        <v>150</v>
      </c>
      <c r="AE47" s="5">
        <f t="shared" si="4"/>
        <v>7200</v>
      </c>
      <c r="AF47" s="5">
        <f t="shared" si="5"/>
        <v>9000</v>
      </c>
      <c r="AG47" s="5">
        <f t="shared" si="6"/>
        <v>-1800</v>
      </c>
      <c r="AH47">
        <f t="shared" si="7"/>
        <v>1.25</v>
      </c>
      <c r="AI47" s="5">
        <f t="shared" si="8"/>
        <v>-30</v>
      </c>
    </row>
    <row r="48" spans="1:35" x14ac:dyDescent="0.35">
      <c r="A48" t="s">
        <v>15</v>
      </c>
      <c r="B48" t="s">
        <v>31</v>
      </c>
      <c r="C48" t="s">
        <v>49</v>
      </c>
      <c r="D48" s="2">
        <v>120</v>
      </c>
      <c r="E48">
        <v>30</v>
      </c>
      <c r="F48">
        <v>30</v>
      </c>
      <c r="G48">
        <v>30</v>
      </c>
      <c r="H48">
        <v>30</v>
      </c>
      <c r="I48">
        <v>30</v>
      </c>
      <c r="J48">
        <v>30</v>
      </c>
      <c r="K48">
        <v>30</v>
      </c>
      <c r="L48">
        <v>30</v>
      </c>
      <c r="M48">
        <v>30</v>
      </c>
      <c r="N48">
        <v>30</v>
      </c>
      <c r="O48">
        <v>30</v>
      </c>
      <c r="P48">
        <v>30</v>
      </c>
      <c r="Q48" s="3">
        <f t="shared" si="10"/>
        <v>3600</v>
      </c>
      <c r="R48" s="3">
        <f t="shared" si="10"/>
        <v>3600</v>
      </c>
      <c r="S48" s="3">
        <f t="shared" si="10"/>
        <v>3600</v>
      </c>
      <c r="T48" s="3">
        <f t="shared" si="10"/>
        <v>3600</v>
      </c>
      <c r="U48" s="3">
        <f t="shared" si="10"/>
        <v>3600</v>
      </c>
      <c r="V48" s="3">
        <f t="shared" si="10"/>
        <v>3600</v>
      </c>
      <c r="W48" s="3">
        <f t="shared" si="11"/>
        <v>3600</v>
      </c>
      <c r="X48" s="3">
        <f t="shared" si="11"/>
        <v>3600</v>
      </c>
      <c r="Y48" s="3">
        <f t="shared" si="11"/>
        <v>3600</v>
      </c>
      <c r="Z48" s="3">
        <f t="shared" si="11"/>
        <v>3600</v>
      </c>
      <c r="AA48" s="3">
        <f t="shared" si="11"/>
        <v>3600</v>
      </c>
      <c r="AB48" s="3">
        <f t="shared" si="11"/>
        <v>3600</v>
      </c>
      <c r="AC48" s="5">
        <f t="shared" si="2"/>
        <v>180</v>
      </c>
      <c r="AD48" s="5">
        <f t="shared" si="3"/>
        <v>180</v>
      </c>
      <c r="AE48" s="5">
        <f t="shared" si="4"/>
        <v>21600</v>
      </c>
      <c r="AF48" s="5">
        <f t="shared" si="5"/>
        <v>21600</v>
      </c>
      <c r="AG48" s="5">
        <f t="shared" si="6"/>
        <v>0</v>
      </c>
      <c r="AH48">
        <f t="shared" si="7"/>
        <v>1</v>
      </c>
      <c r="AI48" s="5">
        <f t="shared" si="8"/>
        <v>0</v>
      </c>
    </row>
    <row r="49" spans="1:35" x14ac:dyDescent="0.35">
      <c r="A49" t="s">
        <v>16</v>
      </c>
      <c r="B49" t="s">
        <v>32</v>
      </c>
      <c r="C49" t="s">
        <v>34</v>
      </c>
      <c r="D49" s="2">
        <v>50</v>
      </c>
      <c r="E49">
        <v>40</v>
      </c>
      <c r="F49">
        <v>40</v>
      </c>
      <c r="G49">
        <v>40</v>
      </c>
      <c r="H49">
        <v>40</v>
      </c>
      <c r="I49">
        <v>40</v>
      </c>
      <c r="J49">
        <v>40</v>
      </c>
      <c r="K49">
        <v>50</v>
      </c>
      <c r="L49">
        <v>50</v>
      </c>
      <c r="M49">
        <v>50</v>
      </c>
      <c r="N49">
        <v>50</v>
      </c>
      <c r="O49">
        <v>50</v>
      </c>
      <c r="P49">
        <v>50</v>
      </c>
      <c r="Q49" s="3">
        <f t="shared" si="10"/>
        <v>2000</v>
      </c>
      <c r="R49" s="3">
        <f t="shared" si="10"/>
        <v>2000</v>
      </c>
      <c r="S49" s="3">
        <f t="shared" si="10"/>
        <v>2000</v>
      </c>
      <c r="T49" s="3">
        <f t="shared" si="10"/>
        <v>2000</v>
      </c>
      <c r="U49" s="3">
        <f t="shared" si="10"/>
        <v>2000</v>
      </c>
      <c r="V49" s="3">
        <f t="shared" si="10"/>
        <v>2000</v>
      </c>
      <c r="W49" s="3">
        <f t="shared" si="11"/>
        <v>2500</v>
      </c>
      <c r="X49" s="3">
        <f t="shared" si="11"/>
        <v>2500</v>
      </c>
      <c r="Y49" s="3">
        <f t="shared" si="11"/>
        <v>2500</v>
      </c>
      <c r="Z49" s="3">
        <f t="shared" si="11"/>
        <v>2500</v>
      </c>
      <c r="AA49" s="3">
        <f t="shared" si="11"/>
        <v>2500</v>
      </c>
      <c r="AB49" s="3">
        <f t="shared" si="11"/>
        <v>2500</v>
      </c>
      <c r="AC49" s="5">
        <f t="shared" si="2"/>
        <v>240</v>
      </c>
      <c r="AD49" s="5">
        <f t="shared" si="3"/>
        <v>300</v>
      </c>
      <c r="AE49" s="5">
        <f t="shared" si="4"/>
        <v>12000</v>
      </c>
      <c r="AF49" s="5">
        <f t="shared" si="5"/>
        <v>15000</v>
      </c>
      <c r="AG49" s="5">
        <f t="shared" si="6"/>
        <v>-3000</v>
      </c>
      <c r="AH49">
        <f t="shared" si="7"/>
        <v>1.25</v>
      </c>
      <c r="AI49" s="5">
        <f t="shared" si="8"/>
        <v>-60</v>
      </c>
    </row>
    <row r="50" spans="1:35" x14ac:dyDescent="0.35">
      <c r="A50" t="s">
        <v>16</v>
      </c>
      <c r="B50" t="s">
        <v>32</v>
      </c>
      <c r="C50" t="s">
        <v>47</v>
      </c>
      <c r="D50" s="2">
        <v>50</v>
      </c>
      <c r="E50">
        <v>10</v>
      </c>
      <c r="F50">
        <v>10</v>
      </c>
      <c r="G50">
        <v>10</v>
      </c>
      <c r="H50">
        <v>10</v>
      </c>
      <c r="I50">
        <v>10</v>
      </c>
      <c r="J50">
        <v>10</v>
      </c>
      <c r="K50">
        <v>12</v>
      </c>
      <c r="L50">
        <v>12</v>
      </c>
      <c r="M50">
        <v>12</v>
      </c>
      <c r="N50">
        <v>12</v>
      </c>
      <c r="O50">
        <v>12</v>
      </c>
      <c r="P50">
        <v>12</v>
      </c>
      <c r="Q50" s="3">
        <f t="shared" si="10"/>
        <v>500</v>
      </c>
      <c r="R50" s="3">
        <f t="shared" si="10"/>
        <v>500</v>
      </c>
      <c r="S50" s="3">
        <f t="shared" si="10"/>
        <v>500</v>
      </c>
      <c r="T50" s="3">
        <f t="shared" si="10"/>
        <v>500</v>
      </c>
      <c r="U50" s="3">
        <f t="shared" si="10"/>
        <v>500</v>
      </c>
      <c r="V50" s="3">
        <f t="shared" si="10"/>
        <v>500</v>
      </c>
      <c r="W50" s="3">
        <f t="shared" si="11"/>
        <v>600</v>
      </c>
      <c r="X50" s="3">
        <f t="shared" si="11"/>
        <v>600</v>
      </c>
      <c r="Y50" s="3">
        <f t="shared" si="11"/>
        <v>600</v>
      </c>
      <c r="Z50" s="3">
        <f t="shared" si="11"/>
        <v>600</v>
      </c>
      <c r="AA50" s="3">
        <f t="shared" si="11"/>
        <v>600</v>
      </c>
      <c r="AB50" s="3">
        <f t="shared" si="11"/>
        <v>600</v>
      </c>
      <c r="AC50" s="5">
        <f t="shared" si="2"/>
        <v>60</v>
      </c>
      <c r="AD50" s="5">
        <f t="shared" si="3"/>
        <v>72</v>
      </c>
      <c r="AE50" s="5">
        <f t="shared" si="4"/>
        <v>3000</v>
      </c>
      <c r="AF50" s="5">
        <f t="shared" si="5"/>
        <v>3600</v>
      </c>
      <c r="AG50" s="5">
        <f t="shared" si="6"/>
        <v>-600</v>
      </c>
      <c r="AH50">
        <f t="shared" si="7"/>
        <v>1.2</v>
      </c>
      <c r="AI50" s="5">
        <f t="shared" si="8"/>
        <v>-12</v>
      </c>
    </row>
    <row r="51" spans="1:35" x14ac:dyDescent="0.35">
      <c r="A51" t="s">
        <v>16</v>
      </c>
      <c r="B51" t="s">
        <v>32</v>
      </c>
      <c r="C51" t="s">
        <v>49</v>
      </c>
      <c r="D51" s="2">
        <v>120</v>
      </c>
      <c r="E51">
        <v>30</v>
      </c>
      <c r="F51">
        <v>30</v>
      </c>
      <c r="G51">
        <v>30</v>
      </c>
      <c r="H51">
        <v>30</v>
      </c>
      <c r="I51">
        <v>30</v>
      </c>
      <c r="J51">
        <v>30</v>
      </c>
      <c r="K51">
        <v>30</v>
      </c>
      <c r="L51">
        <v>30</v>
      </c>
      <c r="M51">
        <v>30</v>
      </c>
      <c r="N51">
        <v>30</v>
      </c>
      <c r="O51">
        <v>30</v>
      </c>
      <c r="P51">
        <v>30</v>
      </c>
      <c r="Q51" s="3">
        <f t="shared" si="10"/>
        <v>3600</v>
      </c>
      <c r="R51" s="3">
        <f t="shared" si="10"/>
        <v>3600</v>
      </c>
      <c r="S51" s="3">
        <f t="shared" si="10"/>
        <v>3600</v>
      </c>
      <c r="T51" s="3">
        <f t="shared" si="10"/>
        <v>3600</v>
      </c>
      <c r="U51" s="3">
        <f t="shared" si="10"/>
        <v>3600</v>
      </c>
      <c r="V51" s="3">
        <f t="shared" si="10"/>
        <v>3600</v>
      </c>
      <c r="W51" s="3">
        <f t="shared" si="11"/>
        <v>3600</v>
      </c>
      <c r="X51" s="3">
        <f t="shared" si="11"/>
        <v>3600</v>
      </c>
      <c r="Y51" s="3">
        <f t="shared" si="11"/>
        <v>3600</v>
      </c>
      <c r="Z51" s="3">
        <f t="shared" si="11"/>
        <v>3600</v>
      </c>
      <c r="AA51" s="3">
        <f t="shared" si="11"/>
        <v>3600</v>
      </c>
      <c r="AB51" s="3">
        <f t="shared" si="11"/>
        <v>3600</v>
      </c>
      <c r="AC51" s="5">
        <f t="shared" si="2"/>
        <v>180</v>
      </c>
      <c r="AD51" s="5">
        <f t="shared" si="3"/>
        <v>180</v>
      </c>
      <c r="AE51" s="5">
        <f t="shared" si="4"/>
        <v>21600</v>
      </c>
      <c r="AF51" s="5">
        <f t="shared" si="5"/>
        <v>21600</v>
      </c>
      <c r="AG51" s="5">
        <f t="shared" si="6"/>
        <v>0</v>
      </c>
      <c r="AH51">
        <f t="shared" si="7"/>
        <v>1</v>
      </c>
      <c r="AI51" s="5">
        <f t="shared" si="8"/>
        <v>0</v>
      </c>
    </row>
    <row r="52" spans="1:35" x14ac:dyDescent="0.35">
      <c r="A52" t="s">
        <v>16</v>
      </c>
      <c r="B52" t="s">
        <v>33</v>
      </c>
      <c r="C52" t="s">
        <v>44</v>
      </c>
      <c r="D52" s="2">
        <v>45</v>
      </c>
      <c r="E52">
        <v>160</v>
      </c>
      <c r="F52">
        <v>160</v>
      </c>
      <c r="G52">
        <v>160</v>
      </c>
      <c r="H52">
        <v>160</v>
      </c>
      <c r="I52">
        <v>160</v>
      </c>
      <c r="J52">
        <v>160</v>
      </c>
      <c r="K52">
        <v>160</v>
      </c>
      <c r="L52">
        <v>160</v>
      </c>
      <c r="M52">
        <v>160</v>
      </c>
      <c r="N52">
        <v>160</v>
      </c>
      <c r="O52">
        <v>160</v>
      </c>
      <c r="P52">
        <v>160</v>
      </c>
      <c r="Q52" s="3">
        <f t="shared" si="10"/>
        <v>7200</v>
      </c>
      <c r="R52" s="3">
        <f t="shared" si="10"/>
        <v>7200</v>
      </c>
      <c r="S52" s="3">
        <f t="shared" si="10"/>
        <v>7200</v>
      </c>
      <c r="T52" s="3">
        <f t="shared" si="10"/>
        <v>7200</v>
      </c>
      <c r="U52" s="3">
        <f t="shared" si="10"/>
        <v>7200</v>
      </c>
      <c r="V52" s="3">
        <f t="shared" si="10"/>
        <v>7200</v>
      </c>
      <c r="W52" s="3">
        <f t="shared" si="11"/>
        <v>7200</v>
      </c>
      <c r="X52" s="3">
        <f t="shared" si="11"/>
        <v>7200</v>
      </c>
      <c r="Y52" s="3">
        <f t="shared" si="11"/>
        <v>7200</v>
      </c>
      <c r="Z52" s="3">
        <f t="shared" si="11"/>
        <v>7200</v>
      </c>
      <c r="AA52" s="3">
        <f t="shared" si="11"/>
        <v>7200</v>
      </c>
      <c r="AB52" s="3">
        <f t="shared" si="11"/>
        <v>7200</v>
      </c>
      <c r="AC52" s="5">
        <f t="shared" si="2"/>
        <v>960</v>
      </c>
      <c r="AD52" s="5">
        <f t="shared" si="3"/>
        <v>960</v>
      </c>
      <c r="AE52" s="5">
        <f t="shared" si="4"/>
        <v>43200</v>
      </c>
      <c r="AF52" s="5">
        <f t="shared" si="5"/>
        <v>43200</v>
      </c>
      <c r="AG52" s="5">
        <f t="shared" si="6"/>
        <v>0</v>
      </c>
      <c r="AH52">
        <f t="shared" si="7"/>
        <v>1</v>
      </c>
      <c r="AI52" s="5">
        <f t="shared" si="8"/>
        <v>0</v>
      </c>
    </row>
    <row r="53" spans="1:35" x14ac:dyDescent="0.35">
      <c r="A53" t="s">
        <v>16</v>
      </c>
      <c r="B53" t="s">
        <v>33</v>
      </c>
      <c r="C53" t="s">
        <v>45</v>
      </c>
      <c r="D53" s="2">
        <v>88</v>
      </c>
      <c r="E53">
        <v>160</v>
      </c>
      <c r="F53">
        <v>160</v>
      </c>
      <c r="G53">
        <v>160</v>
      </c>
      <c r="H53">
        <v>160</v>
      </c>
      <c r="I53">
        <v>160</v>
      </c>
      <c r="J53">
        <v>160</v>
      </c>
      <c r="K53">
        <v>80</v>
      </c>
      <c r="L53">
        <v>80</v>
      </c>
      <c r="M53">
        <v>80</v>
      </c>
      <c r="N53">
        <v>80</v>
      </c>
      <c r="O53">
        <v>80</v>
      </c>
      <c r="P53">
        <v>80</v>
      </c>
      <c r="Q53" s="3">
        <f t="shared" si="10"/>
        <v>14080</v>
      </c>
      <c r="R53" s="3">
        <f t="shared" si="10"/>
        <v>14080</v>
      </c>
      <c r="S53" s="3">
        <f t="shared" si="10"/>
        <v>14080</v>
      </c>
      <c r="T53" s="3">
        <f t="shared" si="10"/>
        <v>14080</v>
      </c>
      <c r="U53" s="3">
        <f t="shared" si="10"/>
        <v>14080</v>
      </c>
      <c r="V53" s="3">
        <f t="shared" si="10"/>
        <v>14080</v>
      </c>
      <c r="W53" s="3">
        <f t="shared" si="11"/>
        <v>7040</v>
      </c>
      <c r="X53" s="3">
        <f t="shared" si="11"/>
        <v>7040</v>
      </c>
      <c r="Y53" s="3">
        <f t="shared" si="11"/>
        <v>7040</v>
      </c>
      <c r="Z53" s="3">
        <f t="shared" si="11"/>
        <v>7040</v>
      </c>
      <c r="AA53" s="3">
        <f t="shared" si="11"/>
        <v>7040</v>
      </c>
      <c r="AB53" s="3">
        <f t="shared" si="11"/>
        <v>7040</v>
      </c>
      <c r="AC53" s="5">
        <f t="shared" si="2"/>
        <v>960</v>
      </c>
      <c r="AD53" s="5">
        <f t="shared" si="3"/>
        <v>480</v>
      </c>
      <c r="AE53" s="5">
        <f t="shared" si="4"/>
        <v>84480</v>
      </c>
      <c r="AF53" s="5">
        <f t="shared" si="5"/>
        <v>42240</v>
      </c>
      <c r="AG53" s="5">
        <f t="shared" si="6"/>
        <v>42240</v>
      </c>
      <c r="AH53">
        <f t="shared" si="7"/>
        <v>0.5</v>
      </c>
      <c r="AI53" s="5">
        <f t="shared" si="8"/>
        <v>480</v>
      </c>
    </row>
    <row r="54" spans="1:35" x14ac:dyDescent="0.35">
      <c r="A54" t="s">
        <v>16</v>
      </c>
      <c r="B54" t="s">
        <v>33</v>
      </c>
      <c r="C54" t="s">
        <v>47</v>
      </c>
      <c r="D54" s="2">
        <v>50</v>
      </c>
      <c r="E54">
        <v>10</v>
      </c>
      <c r="F54">
        <v>10</v>
      </c>
      <c r="G54">
        <v>10</v>
      </c>
      <c r="H54">
        <v>10</v>
      </c>
      <c r="I54">
        <v>10</v>
      </c>
      <c r="J54">
        <v>10</v>
      </c>
      <c r="K54">
        <v>12</v>
      </c>
      <c r="L54">
        <v>12</v>
      </c>
      <c r="M54">
        <v>12</v>
      </c>
      <c r="N54">
        <v>12</v>
      </c>
      <c r="O54">
        <v>12</v>
      </c>
      <c r="P54">
        <v>12</v>
      </c>
      <c r="Q54" s="3">
        <f t="shared" si="10"/>
        <v>500</v>
      </c>
      <c r="R54" s="3">
        <f t="shared" si="10"/>
        <v>500</v>
      </c>
      <c r="S54" s="3">
        <f t="shared" si="10"/>
        <v>500</v>
      </c>
      <c r="T54" s="3">
        <f t="shared" si="10"/>
        <v>500</v>
      </c>
      <c r="U54" s="3">
        <f t="shared" si="10"/>
        <v>500</v>
      </c>
      <c r="V54" s="3">
        <f t="shared" si="10"/>
        <v>500</v>
      </c>
      <c r="W54" s="3">
        <f t="shared" si="11"/>
        <v>600</v>
      </c>
      <c r="X54" s="3">
        <f t="shared" si="11"/>
        <v>600</v>
      </c>
      <c r="Y54" s="3">
        <f t="shared" si="11"/>
        <v>600</v>
      </c>
      <c r="Z54" s="3">
        <f t="shared" si="11"/>
        <v>600</v>
      </c>
      <c r="AA54" s="3">
        <f t="shared" si="11"/>
        <v>600</v>
      </c>
      <c r="AB54" s="3">
        <f t="shared" si="11"/>
        <v>600</v>
      </c>
      <c r="AC54" s="5">
        <f t="shared" si="2"/>
        <v>60</v>
      </c>
      <c r="AD54" s="5">
        <f t="shared" si="3"/>
        <v>72</v>
      </c>
      <c r="AE54" s="5">
        <f t="shared" si="4"/>
        <v>3000</v>
      </c>
      <c r="AF54" s="5">
        <f t="shared" si="5"/>
        <v>3600</v>
      </c>
      <c r="AG54" s="5">
        <f t="shared" si="6"/>
        <v>-600</v>
      </c>
      <c r="AH54">
        <f t="shared" si="7"/>
        <v>1.2</v>
      </c>
      <c r="AI54" s="5">
        <f t="shared" si="8"/>
        <v>-12</v>
      </c>
    </row>
    <row r="55" spans="1:35" x14ac:dyDescent="0.35">
      <c r="A55" t="s">
        <v>16</v>
      </c>
      <c r="B55" t="s">
        <v>33</v>
      </c>
      <c r="C55" t="s">
        <v>48</v>
      </c>
      <c r="D55" s="2">
        <v>60</v>
      </c>
      <c r="E55">
        <v>20</v>
      </c>
      <c r="F55">
        <v>20</v>
      </c>
      <c r="G55">
        <v>20</v>
      </c>
      <c r="H55">
        <v>20</v>
      </c>
      <c r="I55">
        <v>20</v>
      </c>
      <c r="J55">
        <v>20</v>
      </c>
      <c r="K55">
        <v>25</v>
      </c>
      <c r="L55">
        <v>25</v>
      </c>
      <c r="M55">
        <v>25</v>
      </c>
      <c r="N55">
        <v>25</v>
      </c>
      <c r="O55">
        <v>25</v>
      </c>
      <c r="P55">
        <v>25</v>
      </c>
      <c r="Q55" s="3">
        <f t="shared" si="10"/>
        <v>1200</v>
      </c>
      <c r="R55" s="3">
        <f t="shared" si="10"/>
        <v>1200</v>
      </c>
      <c r="S55" s="3">
        <f t="shared" si="10"/>
        <v>1200</v>
      </c>
      <c r="T55" s="3">
        <f t="shared" si="10"/>
        <v>1200</v>
      </c>
      <c r="U55" s="3">
        <f t="shared" si="10"/>
        <v>1200</v>
      </c>
      <c r="V55" s="3">
        <f t="shared" si="10"/>
        <v>1200</v>
      </c>
      <c r="W55" s="3">
        <f t="shared" si="11"/>
        <v>1500</v>
      </c>
      <c r="X55" s="3">
        <f t="shared" si="11"/>
        <v>1500</v>
      </c>
      <c r="Y55" s="3">
        <f t="shared" si="11"/>
        <v>1500</v>
      </c>
      <c r="Z55" s="3">
        <f t="shared" si="11"/>
        <v>1500</v>
      </c>
      <c r="AA55" s="3">
        <f t="shared" si="11"/>
        <v>1500</v>
      </c>
      <c r="AB55" s="3">
        <f t="shared" si="11"/>
        <v>1500</v>
      </c>
      <c r="AC55" s="5">
        <f t="shared" si="2"/>
        <v>120</v>
      </c>
      <c r="AD55" s="5">
        <f t="shared" si="3"/>
        <v>150</v>
      </c>
      <c r="AE55" s="5">
        <f t="shared" si="4"/>
        <v>7200</v>
      </c>
      <c r="AF55" s="5">
        <f t="shared" si="5"/>
        <v>9000</v>
      </c>
      <c r="AG55" s="5">
        <f t="shared" si="6"/>
        <v>-1800</v>
      </c>
      <c r="AH55">
        <f t="shared" si="7"/>
        <v>1.25</v>
      </c>
      <c r="AI55" s="5">
        <f t="shared" si="8"/>
        <v>-30</v>
      </c>
    </row>
    <row r="56" spans="1:35" s="4" customFormat="1" x14ac:dyDescent="0.35">
      <c r="E56" s="4">
        <f>SUM(E3:E55)</f>
        <v>2025</v>
      </c>
      <c r="F56" s="4">
        <f t="shared" ref="F56:I56" si="12">SUM(F3:F55)</f>
        <v>2025</v>
      </c>
      <c r="G56" s="4">
        <f t="shared" si="12"/>
        <v>2025</v>
      </c>
      <c r="H56" s="4">
        <f t="shared" si="12"/>
        <v>2025</v>
      </c>
      <c r="I56" s="4">
        <f t="shared" si="12"/>
        <v>2025</v>
      </c>
      <c r="J56" s="4">
        <f>SUM(J3:J55)</f>
        <v>2025</v>
      </c>
      <c r="K56" s="4">
        <f t="shared" ref="K56" si="13">SUM(K3:K55)</f>
        <v>2087</v>
      </c>
      <c r="L56" s="4">
        <f t="shared" ref="L56" si="14">SUM(L3:L55)</f>
        <v>2087</v>
      </c>
      <c r="M56" s="4">
        <f>SUM(M3:M55)</f>
        <v>2087</v>
      </c>
      <c r="N56" s="4">
        <f t="shared" ref="N56" si="15">SUM(N3:N55)</f>
        <v>2003</v>
      </c>
      <c r="O56" s="4">
        <f t="shared" ref="O56" si="16">SUM(O3:O55)</f>
        <v>2003</v>
      </c>
      <c r="P56" s="4">
        <f>SUM(P3:P55)</f>
        <v>2003</v>
      </c>
      <c r="Q56" s="10">
        <f t="shared" ref="Q56" si="17">SUM(Q3:Q55)</f>
        <v>161030</v>
      </c>
      <c r="R56" s="10">
        <f>SUM(R3:R55)</f>
        <v>161030</v>
      </c>
      <c r="S56" s="10">
        <f t="shared" ref="S56" si="18">SUM(S3:S55)</f>
        <v>161030</v>
      </c>
      <c r="T56" s="10">
        <f t="shared" ref="T56" si="19">SUM(T3:T55)</f>
        <v>161030</v>
      </c>
      <c r="U56" s="10">
        <f t="shared" ref="U56" si="20">SUM(U3:U55)</f>
        <v>161030</v>
      </c>
      <c r="V56" s="10">
        <f t="shared" ref="V56" si="21">SUM(V3:V55)</f>
        <v>161030</v>
      </c>
      <c r="W56" s="10">
        <f>SUM(W3:W55)</f>
        <v>166140</v>
      </c>
      <c r="X56" s="10">
        <f>SUM(X3:X55)</f>
        <v>166140</v>
      </c>
      <c r="Y56" s="10">
        <f t="shared" ref="Y56" si="22">SUM(Y3:Y55)</f>
        <v>166140</v>
      </c>
      <c r="Z56" s="10">
        <f t="shared" ref="Z56" si="23">SUM(Z3:Z55)</f>
        <v>152790</v>
      </c>
      <c r="AA56" s="10">
        <f t="shared" ref="AA56" si="24">SUM(AA3:AA55)</f>
        <v>152790</v>
      </c>
      <c r="AB56" s="10">
        <f>SUM(AB3:AB55)</f>
        <v>152790</v>
      </c>
      <c r="AC56" s="4">
        <f>SUM(AC3:AC55)</f>
        <v>12150</v>
      </c>
      <c r="AD56" s="4">
        <f t="shared" ref="AD56" si="25">SUM(AD3:AD55)</f>
        <v>12270</v>
      </c>
      <c r="AE56" s="4">
        <f t="shared" ref="AE56" si="26">SUM(AE3:AE55)</f>
        <v>966180</v>
      </c>
      <c r="AF56" s="4">
        <f t="shared" ref="AF56" si="27">SUM(AF3:AF55)</f>
        <v>956790</v>
      </c>
      <c r="AG56" s="4">
        <f t="shared" ref="AG56" si="28">SUM(AG3:AG55)</f>
        <v>9390</v>
      </c>
    </row>
    <row r="59" spans="1:35" x14ac:dyDescent="0.35">
      <c r="B59" t="s">
        <v>12</v>
      </c>
      <c r="E59">
        <f>SUM(E3:E11)</f>
        <v>360</v>
      </c>
      <c r="F59">
        <f t="shared" ref="F59:AF59" si="29">SUM(F3:F11)</f>
        <v>360</v>
      </c>
      <c r="G59">
        <f t="shared" si="29"/>
        <v>360</v>
      </c>
      <c r="H59">
        <f t="shared" si="29"/>
        <v>360</v>
      </c>
      <c r="I59">
        <f t="shared" si="29"/>
        <v>360</v>
      </c>
      <c r="J59">
        <f t="shared" si="29"/>
        <v>360</v>
      </c>
      <c r="K59">
        <f t="shared" si="29"/>
        <v>386</v>
      </c>
      <c r="L59">
        <f t="shared" si="29"/>
        <v>386</v>
      </c>
      <c r="M59">
        <f t="shared" si="29"/>
        <v>386</v>
      </c>
      <c r="N59">
        <f t="shared" si="29"/>
        <v>402</v>
      </c>
      <c r="O59">
        <f>SUM(O3:O11)</f>
        <v>402</v>
      </c>
      <c r="P59">
        <f t="shared" si="29"/>
        <v>402</v>
      </c>
      <c r="Q59">
        <f t="shared" si="29"/>
        <v>25600</v>
      </c>
      <c r="R59">
        <f t="shared" si="29"/>
        <v>25600</v>
      </c>
      <c r="S59">
        <f t="shared" si="29"/>
        <v>25600</v>
      </c>
      <c r="T59">
        <f t="shared" si="29"/>
        <v>25600</v>
      </c>
      <c r="U59">
        <f t="shared" si="29"/>
        <v>25600</v>
      </c>
      <c r="V59">
        <f t="shared" si="29"/>
        <v>25600</v>
      </c>
      <c r="W59">
        <f>SUM(W3:W11)</f>
        <v>27700</v>
      </c>
      <c r="X59">
        <f t="shared" si="29"/>
        <v>27700</v>
      </c>
      <c r="Y59">
        <f t="shared" si="29"/>
        <v>27700</v>
      </c>
      <c r="Z59">
        <f t="shared" si="29"/>
        <v>28350</v>
      </c>
      <c r="AA59">
        <f t="shared" si="29"/>
        <v>28350</v>
      </c>
      <c r="AB59">
        <f t="shared" si="29"/>
        <v>28350</v>
      </c>
      <c r="AC59">
        <f t="shared" si="29"/>
        <v>2160</v>
      </c>
      <c r="AD59">
        <f t="shared" si="29"/>
        <v>2364</v>
      </c>
      <c r="AE59">
        <f t="shared" si="29"/>
        <v>153600</v>
      </c>
      <c r="AF59">
        <f t="shared" si="29"/>
        <v>168150</v>
      </c>
      <c r="AG59">
        <f>SUM(AG3:AG11)</f>
        <v>-14550</v>
      </c>
    </row>
    <row r="61" spans="1:35" x14ac:dyDescent="0.35">
      <c r="B61" t="s">
        <v>79</v>
      </c>
      <c r="E61">
        <f>SUM(E12:E20)</f>
        <v>225</v>
      </c>
      <c r="F61">
        <f t="shared" ref="F61:AG61" si="30">SUM(F12:F20)</f>
        <v>225</v>
      </c>
      <c r="G61">
        <f t="shared" si="30"/>
        <v>225</v>
      </c>
      <c r="H61">
        <f t="shared" si="30"/>
        <v>225</v>
      </c>
      <c r="I61">
        <f t="shared" si="30"/>
        <v>225</v>
      </c>
      <c r="J61">
        <f t="shared" si="30"/>
        <v>225</v>
      </c>
      <c r="K61">
        <f t="shared" si="30"/>
        <v>268</v>
      </c>
      <c r="L61">
        <f t="shared" si="30"/>
        <v>268</v>
      </c>
      <c r="M61">
        <f t="shared" si="30"/>
        <v>268</v>
      </c>
      <c r="N61">
        <f t="shared" si="30"/>
        <v>218</v>
      </c>
      <c r="O61">
        <f t="shared" si="30"/>
        <v>218</v>
      </c>
      <c r="P61">
        <f t="shared" si="30"/>
        <v>218</v>
      </c>
      <c r="Q61">
        <f t="shared" si="30"/>
        <v>21850</v>
      </c>
      <c r="R61">
        <f t="shared" si="30"/>
        <v>21850</v>
      </c>
      <c r="S61">
        <f t="shared" si="30"/>
        <v>21850</v>
      </c>
      <c r="T61">
        <f t="shared" si="30"/>
        <v>21850</v>
      </c>
      <c r="U61">
        <f t="shared" si="30"/>
        <v>21850</v>
      </c>
      <c r="V61">
        <f t="shared" si="30"/>
        <v>21850</v>
      </c>
      <c r="W61">
        <f t="shared" si="30"/>
        <v>26100</v>
      </c>
      <c r="X61">
        <f t="shared" si="30"/>
        <v>26100</v>
      </c>
      <c r="Y61">
        <f t="shared" si="30"/>
        <v>26100</v>
      </c>
      <c r="Z61">
        <f t="shared" si="30"/>
        <v>19100</v>
      </c>
      <c r="AA61">
        <f t="shared" si="30"/>
        <v>19100</v>
      </c>
      <c r="AB61">
        <f t="shared" si="30"/>
        <v>19100</v>
      </c>
      <c r="AC61">
        <f t="shared" si="30"/>
        <v>1350</v>
      </c>
      <c r="AD61">
        <f t="shared" si="30"/>
        <v>1458</v>
      </c>
      <c r="AE61">
        <f t="shared" si="30"/>
        <v>131100</v>
      </c>
      <c r="AF61">
        <f t="shared" si="30"/>
        <v>135600</v>
      </c>
      <c r="AG61">
        <f t="shared" si="30"/>
        <v>-4500</v>
      </c>
    </row>
    <row r="64" spans="1:35" x14ac:dyDescent="0.35">
      <c r="B64" t="s">
        <v>14</v>
      </c>
      <c r="E64">
        <f>SUM(E21:E34)</f>
        <v>460</v>
      </c>
      <c r="F64">
        <f t="shared" ref="F64:AG64" si="31">SUM(F21:F34)</f>
        <v>460</v>
      </c>
      <c r="G64">
        <f t="shared" si="31"/>
        <v>460</v>
      </c>
      <c r="H64">
        <f t="shared" si="31"/>
        <v>460</v>
      </c>
      <c r="I64">
        <f t="shared" si="31"/>
        <v>460</v>
      </c>
      <c r="J64">
        <f t="shared" si="31"/>
        <v>460</v>
      </c>
      <c r="K64">
        <f t="shared" si="31"/>
        <v>538</v>
      </c>
      <c r="L64">
        <f t="shared" si="31"/>
        <v>538</v>
      </c>
      <c r="M64">
        <f t="shared" si="31"/>
        <v>538</v>
      </c>
      <c r="N64">
        <f t="shared" si="31"/>
        <v>488</v>
      </c>
      <c r="O64">
        <f t="shared" si="31"/>
        <v>488</v>
      </c>
      <c r="P64">
        <f t="shared" si="31"/>
        <v>488</v>
      </c>
      <c r="Q64">
        <f t="shared" si="31"/>
        <v>36000</v>
      </c>
      <c r="R64">
        <f t="shared" si="31"/>
        <v>36000</v>
      </c>
      <c r="S64">
        <f t="shared" si="31"/>
        <v>36000</v>
      </c>
      <c r="T64">
        <f t="shared" si="31"/>
        <v>36000</v>
      </c>
      <c r="U64">
        <f t="shared" si="31"/>
        <v>36000</v>
      </c>
      <c r="V64">
        <f t="shared" si="31"/>
        <v>36000</v>
      </c>
      <c r="W64">
        <f t="shared" si="31"/>
        <v>44050</v>
      </c>
      <c r="X64">
        <f t="shared" si="31"/>
        <v>44050</v>
      </c>
      <c r="Y64">
        <f t="shared" si="31"/>
        <v>44050</v>
      </c>
      <c r="Z64">
        <f t="shared" si="31"/>
        <v>37050</v>
      </c>
      <c r="AA64">
        <f t="shared" si="31"/>
        <v>37050</v>
      </c>
      <c r="AB64">
        <f t="shared" si="31"/>
        <v>37050</v>
      </c>
      <c r="AC64">
        <f t="shared" si="31"/>
        <v>2760</v>
      </c>
      <c r="AD64">
        <f t="shared" si="31"/>
        <v>3078</v>
      </c>
      <c r="AE64">
        <f t="shared" si="31"/>
        <v>216000</v>
      </c>
      <c r="AF64">
        <f t="shared" si="31"/>
        <v>243300</v>
      </c>
      <c r="AG64">
        <f t="shared" si="31"/>
        <v>-27300</v>
      </c>
    </row>
    <row r="66" spans="2:33" x14ac:dyDescent="0.35">
      <c r="B66" t="s">
        <v>15</v>
      </c>
      <c r="E66">
        <f>SUM(E35:E48)</f>
        <v>550</v>
      </c>
      <c r="F66">
        <f t="shared" ref="F66:AG66" si="32">SUM(F35:F48)</f>
        <v>550</v>
      </c>
      <c r="G66">
        <f t="shared" si="32"/>
        <v>550</v>
      </c>
      <c r="H66">
        <f t="shared" si="32"/>
        <v>550</v>
      </c>
      <c r="I66">
        <f t="shared" si="32"/>
        <v>550</v>
      </c>
      <c r="J66">
        <f t="shared" si="32"/>
        <v>550</v>
      </c>
      <c r="K66">
        <f t="shared" si="32"/>
        <v>526</v>
      </c>
      <c r="L66">
        <f t="shared" si="32"/>
        <v>526</v>
      </c>
      <c r="M66">
        <f t="shared" si="32"/>
        <v>526</v>
      </c>
      <c r="N66">
        <f t="shared" si="32"/>
        <v>526</v>
      </c>
      <c r="O66">
        <f t="shared" si="32"/>
        <v>526</v>
      </c>
      <c r="P66">
        <f t="shared" si="32"/>
        <v>526</v>
      </c>
      <c r="Q66">
        <f t="shared" si="32"/>
        <v>48500</v>
      </c>
      <c r="R66">
        <f t="shared" si="32"/>
        <v>48500</v>
      </c>
      <c r="S66">
        <f t="shared" si="32"/>
        <v>48500</v>
      </c>
      <c r="T66">
        <f t="shared" si="32"/>
        <v>48500</v>
      </c>
      <c r="U66">
        <f t="shared" si="32"/>
        <v>48500</v>
      </c>
      <c r="V66">
        <f t="shared" si="32"/>
        <v>48500</v>
      </c>
      <c r="W66">
        <f t="shared" si="32"/>
        <v>45250</v>
      </c>
      <c r="X66">
        <f t="shared" si="32"/>
        <v>45250</v>
      </c>
      <c r="Y66">
        <f t="shared" si="32"/>
        <v>45250</v>
      </c>
      <c r="Z66">
        <f t="shared" si="32"/>
        <v>45250</v>
      </c>
      <c r="AA66">
        <f t="shared" si="32"/>
        <v>45250</v>
      </c>
      <c r="AB66">
        <f t="shared" si="32"/>
        <v>45250</v>
      </c>
      <c r="AC66">
        <f t="shared" si="32"/>
        <v>3300</v>
      </c>
      <c r="AD66">
        <f t="shared" si="32"/>
        <v>3156</v>
      </c>
      <c r="AE66">
        <f t="shared" si="32"/>
        <v>291000</v>
      </c>
      <c r="AF66">
        <f t="shared" si="32"/>
        <v>271500</v>
      </c>
      <c r="AG66">
        <f t="shared" si="32"/>
        <v>19500</v>
      </c>
    </row>
    <row r="69" spans="2:33" x14ac:dyDescent="0.35">
      <c r="B69" t="s">
        <v>16</v>
      </c>
      <c r="E69">
        <f>SUM(E49:E55)</f>
        <v>430</v>
      </c>
      <c r="F69">
        <f t="shared" ref="F69:AG69" si="33">SUM(F49:F55)</f>
        <v>430</v>
      </c>
      <c r="G69">
        <f t="shared" si="33"/>
        <v>430</v>
      </c>
      <c r="H69">
        <f t="shared" si="33"/>
        <v>430</v>
      </c>
      <c r="I69">
        <f t="shared" si="33"/>
        <v>430</v>
      </c>
      <c r="J69">
        <f t="shared" si="33"/>
        <v>430</v>
      </c>
      <c r="K69">
        <f t="shared" si="33"/>
        <v>369</v>
      </c>
      <c r="L69">
        <f t="shared" si="33"/>
        <v>369</v>
      </c>
      <c r="M69">
        <f t="shared" si="33"/>
        <v>369</v>
      </c>
      <c r="N69">
        <f t="shared" si="33"/>
        <v>369</v>
      </c>
      <c r="O69">
        <f t="shared" si="33"/>
        <v>369</v>
      </c>
      <c r="P69">
        <f t="shared" si="33"/>
        <v>369</v>
      </c>
      <c r="Q69">
        <f t="shared" si="33"/>
        <v>29080</v>
      </c>
      <c r="R69">
        <f t="shared" si="33"/>
        <v>29080</v>
      </c>
      <c r="S69">
        <f t="shared" si="33"/>
        <v>29080</v>
      </c>
      <c r="T69">
        <f t="shared" si="33"/>
        <v>29080</v>
      </c>
      <c r="U69">
        <f t="shared" si="33"/>
        <v>29080</v>
      </c>
      <c r="V69">
        <f t="shared" si="33"/>
        <v>29080</v>
      </c>
      <c r="W69">
        <f t="shared" si="33"/>
        <v>23040</v>
      </c>
      <c r="X69">
        <f t="shared" si="33"/>
        <v>23040</v>
      </c>
      <c r="Y69">
        <f t="shared" si="33"/>
        <v>23040</v>
      </c>
      <c r="Z69">
        <f t="shared" si="33"/>
        <v>23040</v>
      </c>
      <c r="AA69">
        <f t="shared" si="33"/>
        <v>23040</v>
      </c>
      <c r="AB69">
        <f t="shared" si="33"/>
        <v>23040</v>
      </c>
      <c r="AC69">
        <f t="shared" si="33"/>
        <v>2580</v>
      </c>
      <c r="AD69">
        <f t="shared" si="33"/>
        <v>2214</v>
      </c>
      <c r="AE69">
        <f t="shared" si="33"/>
        <v>174480</v>
      </c>
      <c r="AF69">
        <f t="shared" si="33"/>
        <v>138240</v>
      </c>
      <c r="AG69">
        <f t="shared" si="33"/>
        <v>36240</v>
      </c>
    </row>
  </sheetData>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C04D6-2456-4C7A-A751-CCB4CD3D9475}">
  <dimension ref="A2:G56"/>
  <sheetViews>
    <sheetView zoomScale="69" zoomScaleNormal="69" workbookViewId="0">
      <selection activeCell="B5" sqref="B5"/>
    </sheetView>
  </sheetViews>
  <sheetFormatPr defaultRowHeight="14.5" x14ac:dyDescent="0.35"/>
  <cols>
    <col min="1" max="1" width="10.7265625" bestFit="1" customWidth="1"/>
    <col min="2" max="2" width="24.90625" bestFit="1" customWidth="1"/>
    <col min="3" max="3" width="22.1796875" bestFit="1" customWidth="1"/>
    <col min="4" max="4" width="13.54296875" customWidth="1"/>
    <col min="5" max="5" width="8.54296875" bestFit="1" customWidth="1"/>
    <col min="6" max="6" width="8.26953125" bestFit="1" customWidth="1"/>
    <col min="7" max="7" width="10.7265625" bestFit="1" customWidth="1"/>
    <col min="8" max="9" width="7.6328125" bestFit="1" customWidth="1"/>
    <col min="10" max="12" width="8.6328125" bestFit="1" customWidth="1"/>
    <col min="13" max="13" width="22.81640625" bestFit="1" customWidth="1"/>
    <col min="14" max="20" width="7.6328125" bestFit="1" customWidth="1"/>
    <col min="21" max="23" width="8.6328125" bestFit="1" customWidth="1"/>
    <col min="24" max="24" width="30.453125" bestFit="1" customWidth="1"/>
    <col min="25" max="25" width="27.6328125" bestFit="1" customWidth="1"/>
  </cols>
  <sheetData>
    <row r="2" spans="1:4" x14ac:dyDescent="0.35">
      <c r="A2" s="6" t="s">
        <v>54</v>
      </c>
      <c r="B2" t="s">
        <v>70</v>
      </c>
      <c r="C2" t="s">
        <v>69</v>
      </c>
      <c r="D2" t="s">
        <v>71</v>
      </c>
    </row>
    <row r="3" spans="1:4" x14ac:dyDescent="0.35">
      <c r="A3" s="8" t="s">
        <v>12</v>
      </c>
      <c r="B3" s="9">
        <v>153600</v>
      </c>
      <c r="C3" s="9">
        <v>168150</v>
      </c>
      <c r="D3" s="9">
        <v>-14550</v>
      </c>
    </row>
    <row r="4" spans="1:4" x14ac:dyDescent="0.35">
      <c r="A4" s="8" t="s">
        <v>13</v>
      </c>
      <c r="B4" s="9">
        <v>131100</v>
      </c>
      <c r="C4" s="9">
        <v>135600</v>
      </c>
      <c r="D4" s="9">
        <v>-4500</v>
      </c>
    </row>
    <row r="5" spans="1:4" x14ac:dyDescent="0.35">
      <c r="A5" s="8" t="s">
        <v>14</v>
      </c>
      <c r="B5" s="9">
        <v>216000</v>
      </c>
      <c r="C5" s="9">
        <v>243300</v>
      </c>
      <c r="D5" s="9">
        <v>-27300</v>
      </c>
    </row>
    <row r="6" spans="1:4" x14ac:dyDescent="0.35">
      <c r="A6" s="8" t="s">
        <v>15</v>
      </c>
      <c r="B6" s="9">
        <v>291000</v>
      </c>
      <c r="C6" s="9">
        <v>271500</v>
      </c>
      <c r="D6" s="9">
        <v>19500</v>
      </c>
    </row>
    <row r="7" spans="1:4" x14ac:dyDescent="0.35">
      <c r="A7" s="8" t="s">
        <v>16</v>
      </c>
      <c r="B7" s="9">
        <v>174480</v>
      </c>
      <c r="C7" s="9">
        <v>138240</v>
      </c>
      <c r="D7" s="9">
        <v>36240</v>
      </c>
    </row>
    <row r="8" spans="1:4" x14ac:dyDescent="0.35">
      <c r="A8" s="8" t="s">
        <v>53</v>
      </c>
      <c r="B8" s="9">
        <v>966180</v>
      </c>
      <c r="C8" s="9">
        <v>956790</v>
      </c>
      <c r="D8" s="9">
        <v>9390</v>
      </c>
    </row>
    <row r="20" spans="1:7" x14ac:dyDescent="0.35">
      <c r="A20" s="6" t="s">
        <v>60</v>
      </c>
      <c r="B20" s="6" t="s">
        <v>52</v>
      </c>
    </row>
    <row r="21" spans="1:7" x14ac:dyDescent="0.35">
      <c r="A21" s="6" t="s">
        <v>54</v>
      </c>
      <c r="B21" t="s">
        <v>12</v>
      </c>
      <c r="C21" t="s">
        <v>13</v>
      </c>
      <c r="D21" t="s">
        <v>14</v>
      </c>
      <c r="E21" t="s">
        <v>15</v>
      </c>
      <c r="F21" t="s">
        <v>16</v>
      </c>
      <c r="G21" t="s">
        <v>53</v>
      </c>
    </row>
    <row r="22" spans="1:7" x14ac:dyDescent="0.35">
      <c r="A22" s="8" t="s">
        <v>41</v>
      </c>
      <c r="B22" s="9">
        <v>25200</v>
      </c>
      <c r="C22" s="9">
        <v>25200</v>
      </c>
      <c r="D22" s="9">
        <v>75600</v>
      </c>
      <c r="E22" s="9"/>
      <c r="F22" s="9"/>
      <c r="G22" s="9">
        <v>126000</v>
      </c>
    </row>
    <row r="23" spans="1:7" x14ac:dyDescent="0.35">
      <c r="A23" s="8" t="s">
        <v>50</v>
      </c>
      <c r="B23" s="9"/>
      <c r="C23" s="9">
        <v>63000</v>
      </c>
      <c r="D23" s="9">
        <v>63000</v>
      </c>
      <c r="E23" s="9"/>
      <c r="F23" s="9"/>
      <c r="G23" s="9">
        <v>126000</v>
      </c>
    </row>
    <row r="24" spans="1:7" x14ac:dyDescent="0.35">
      <c r="A24" s="8" t="s">
        <v>49</v>
      </c>
      <c r="B24" s="9"/>
      <c r="C24" s="9"/>
      <c r="D24" s="9"/>
      <c r="E24" s="9">
        <v>86400</v>
      </c>
      <c r="F24" s="9">
        <v>21600</v>
      </c>
      <c r="G24" s="9">
        <v>108000</v>
      </c>
    </row>
    <row r="25" spans="1:7" x14ac:dyDescent="0.35">
      <c r="A25" s="8" t="s">
        <v>42</v>
      </c>
      <c r="B25" s="9">
        <v>86400</v>
      </c>
      <c r="C25" s="9"/>
      <c r="D25" s="9"/>
      <c r="E25" s="9">
        <v>8100</v>
      </c>
      <c r="F25" s="9"/>
      <c r="G25" s="9">
        <v>94500</v>
      </c>
    </row>
    <row r="26" spans="1:7" x14ac:dyDescent="0.35">
      <c r="A26" s="8" t="s">
        <v>40</v>
      </c>
      <c r="B26" s="9">
        <v>18000</v>
      </c>
      <c r="C26" s="9">
        <v>22500</v>
      </c>
      <c r="D26" s="9">
        <v>36000</v>
      </c>
      <c r="E26" s="9"/>
      <c r="F26" s="9"/>
      <c r="G26" s="9">
        <v>76500</v>
      </c>
    </row>
    <row r="27" spans="1:7" x14ac:dyDescent="0.35">
      <c r="A27" s="8" t="s">
        <v>46</v>
      </c>
      <c r="B27" s="9"/>
      <c r="C27" s="9"/>
      <c r="D27" s="9"/>
      <c r="E27" s="9">
        <v>76500</v>
      </c>
      <c r="F27" s="9"/>
      <c r="G27" s="9">
        <v>76500</v>
      </c>
    </row>
    <row r="28" spans="1:7" x14ac:dyDescent="0.35">
      <c r="A28" s="8" t="s">
        <v>48</v>
      </c>
      <c r="B28" s="9"/>
      <c r="C28" s="9">
        <v>9000</v>
      </c>
      <c r="D28" s="9">
        <v>27000</v>
      </c>
      <c r="E28" s="9">
        <v>27000</v>
      </c>
      <c r="F28" s="9">
        <v>9000</v>
      </c>
      <c r="G28" s="9">
        <v>72000</v>
      </c>
    </row>
    <row r="29" spans="1:7" x14ac:dyDescent="0.35">
      <c r="A29" s="8" t="s">
        <v>43</v>
      </c>
      <c r="B29" s="9"/>
      <c r="C29" s="9"/>
      <c r="D29" s="9"/>
      <c r="E29" s="9">
        <v>62700</v>
      </c>
      <c r="F29" s="9"/>
      <c r="G29" s="9">
        <v>62700</v>
      </c>
    </row>
    <row r="30" spans="1:7" x14ac:dyDescent="0.35">
      <c r="A30" s="8" t="s">
        <v>34</v>
      </c>
      <c r="B30" s="9">
        <v>17100</v>
      </c>
      <c r="C30" s="9">
        <v>8700</v>
      </c>
      <c r="D30" s="9">
        <v>10500</v>
      </c>
      <c r="E30" s="9"/>
      <c r="F30" s="9">
        <v>15000</v>
      </c>
      <c r="G30" s="9">
        <v>51300</v>
      </c>
    </row>
    <row r="31" spans="1:7" x14ac:dyDescent="0.35">
      <c r="A31" s="8" t="s">
        <v>47</v>
      </c>
      <c r="B31" s="9">
        <v>3600</v>
      </c>
      <c r="C31" s="9">
        <v>7200</v>
      </c>
      <c r="D31" s="9">
        <v>14400</v>
      </c>
      <c r="E31" s="9">
        <v>10800</v>
      </c>
      <c r="F31" s="9">
        <v>7200</v>
      </c>
      <c r="G31" s="9">
        <v>43200</v>
      </c>
    </row>
    <row r="32" spans="1:7" x14ac:dyDescent="0.35">
      <c r="A32" s="8" t="s">
        <v>44</v>
      </c>
      <c r="B32" s="9"/>
      <c r="C32" s="9"/>
      <c r="D32" s="9"/>
      <c r="E32" s="9"/>
      <c r="F32" s="9">
        <v>43200</v>
      </c>
      <c r="G32" s="9">
        <v>43200</v>
      </c>
    </row>
    <row r="33" spans="1:7" x14ac:dyDescent="0.35">
      <c r="A33" s="8" t="s">
        <v>45</v>
      </c>
      <c r="B33" s="9"/>
      <c r="C33" s="9"/>
      <c r="D33" s="9"/>
      <c r="E33" s="9"/>
      <c r="F33" s="9">
        <v>42240</v>
      </c>
      <c r="G33" s="9">
        <v>42240</v>
      </c>
    </row>
    <row r="34" spans="1:7" x14ac:dyDescent="0.35">
      <c r="A34" s="8" t="s">
        <v>39</v>
      </c>
      <c r="B34" s="9">
        <v>17850</v>
      </c>
      <c r="C34" s="9"/>
      <c r="D34" s="9">
        <v>16800</v>
      </c>
      <c r="E34" s="9"/>
      <c r="F34" s="9"/>
      <c r="G34" s="9">
        <v>34650</v>
      </c>
    </row>
    <row r="35" spans="1:7" x14ac:dyDescent="0.35">
      <c r="A35" s="8" t="s">
        <v>53</v>
      </c>
      <c r="B35" s="9">
        <v>168150</v>
      </c>
      <c r="C35" s="9">
        <v>135600</v>
      </c>
      <c r="D35" s="9">
        <v>243300</v>
      </c>
      <c r="E35" s="9">
        <v>271500</v>
      </c>
      <c r="F35" s="9">
        <v>138240</v>
      </c>
      <c r="G35" s="9">
        <v>956790</v>
      </c>
    </row>
    <row r="42" spans="1:7" x14ac:dyDescent="0.35">
      <c r="A42" s="6" t="s">
        <v>62</v>
      </c>
      <c r="B42" t="s">
        <v>63</v>
      </c>
      <c r="C42" t="s">
        <v>64</v>
      </c>
    </row>
    <row r="43" spans="1:7" x14ac:dyDescent="0.35">
      <c r="A43" s="8" t="s">
        <v>47</v>
      </c>
      <c r="B43" s="9">
        <v>60</v>
      </c>
      <c r="C43" s="9">
        <v>72</v>
      </c>
    </row>
    <row r="44" spans="1:7" x14ac:dyDescent="0.35">
      <c r="A44" s="8" t="s">
        <v>34</v>
      </c>
      <c r="B44" s="5">
        <v>116.25</v>
      </c>
      <c r="C44" s="5">
        <v>128.25</v>
      </c>
    </row>
    <row r="45" spans="1:7" x14ac:dyDescent="0.35">
      <c r="A45" s="8" t="s">
        <v>48</v>
      </c>
      <c r="B45" s="9">
        <v>120</v>
      </c>
      <c r="C45" s="9">
        <v>150</v>
      </c>
    </row>
    <row r="46" spans="1:7" x14ac:dyDescent="0.35">
      <c r="A46" s="8" t="s">
        <v>49</v>
      </c>
      <c r="B46" s="9">
        <v>180</v>
      </c>
      <c r="C46" s="9">
        <v>180</v>
      </c>
    </row>
    <row r="47" spans="1:7" x14ac:dyDescent="0.35">
      <c r="A47" s="8" t="s">
        <v>50</v>
      </c>
      <c r="B47" s="9">
        <v>240</v>
      </c>
      <c r="C47" s="9">
        <v>225</v>
      </c>
    </row>
    <row r="48" spans="1:7" x14ac:dyDescent="0.35">
      <c r="A48" s="8" t="s">
        <v>41</v>
      </c>
      <c r="B48" s="9">
        <v>240</v>
      </c>
      <c r="C48" s="9">
        <v>300</v>
      </c>
    </row>
    <row r="49" spans="1:3" x14ac:dyDescent="0.35">
      <c r="A49" s="8" t="s">
        <v>40</v>
      </c>
      <c r="B49" s="9">
        <v>320</v>
      </c>
      <c r="C49" s="9">
        <v>340</v>
      </c>
    </row>
    <row r="50" spans="1:3" x14ac:dyDescent="0.35">
      <c r="A50" s="8" t="s">
        <v>42</v>
      </c>
      <c r="B50" s="9">
        <v>480</v>
      </c>
      <c r="C50" s="9">
        <v>525</v>
      </c>
    </row>
    <row r="51" spans="1:3" x14ac:dyDescent="0.35">
      <c r="A51" s="8" t="s">
        <v>39</v>
      </c>
      <c r="B51" s="9">
        <v>480</v>
      </c>
      <c r="C51" s="9">
        <v>495</v>
      </c>
    </row>
    <row r="52" spans="1:3" x14ac:dyDescent="0.35">
      <c r="A52" s="8" t="s">
        <v>46</v>
      </c>
      <c r="B52" s="9">
        <v>480</v>
      </c>
      <c r="C52" s="9">
        <v>510</v>
      </c>
    </row>
    <row r="53" spans="1:3" x14ac:dyDescent="0.35">
      <c r="A53" s="8" t="s">
        <v>44</v>
      </c>
      <c r="B53" s="9">
        <v>960</v>
      </c>
      <c r="C53" s="9">
        <v>960</v>
      </c>
    </row>
    <row r="54" spans="1:3" x14ac:dyDescent="0.35">
      <c r="A54" s="8" t="s">
        <v>45</v>
      </c>
      <c r="B54" s="9">
        <v>960</v>
      </c>
      <c r="C54" s="9">
        <v>480</v>
      </c>
    </row>
    <row r="55" spans="1:3" x14ac:dyDescent="0.35">
      <c r="A55" s="8" t="s">
        <v>43</v>
      </c>
      <c r="B55" s="9">
        <v>960</v>
      </c>
      <c r="C55" s="9">
        <v>660</v>
      </c>
    </row>
    <row r="56" spans="1:3" x14ac:dyDescent="0.35">
      <c r="A56" s="8" t="s">
        <v>53</v>
      </c>
      <c r="B56" s="5">
        <v>229.24528301886792</v>
      </c>
      <c r="C56" s="5">
        <v>231.50943396226415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A6DE9-EB4B-43BE-AE8B-FC569DABDAEB}">
  <dimension ref="A3:O44"/>
  <sheetViews>
    <sheetView tabSelected="1" topLeftCell="A18" zoomScale="86" zoomScaleNormal="84" workbookViewId="0">
      <selection activeCell="K32" sqref="K32"/>
    </sheetView>
  </sheetViews>
  <sheetFormatPr defaultRowHeight="14.5" x14ac:dyDescent="0.35"/>
  <cols>
    <col min="1" max="1" width="22.81640625" bestFit="1" customWidth="1"/>
    <col min="2" max="2" width="15.6328125" bestFit="1" customWidth="1"/>
    <col min="3" max="3" width="17.54296875" bestFit="1" customWidth="1"/>
    <col min="4" max="4" width="5.1796875" bestFit="1" customWidth="1"/>
    <col min="5" max="5" width="7.08984375" bestFit="1" customWidth="1"/>
    <col min="6" max="6" width="5.08984375" bestFit="1" customWidth="1"/>
    <col min="7" max="7" width="5.7265625" bestFit="1" customWidth="1"/>
    <col min="8" max="9" width="5.1796875" bestFit="1" customWidth="1"/>
    <col min="10" max="10" width="8.54296875" bestFit="1" customWidth="1"/>
    <col min="11" max="11" width="5.54296875" bestFit="1" customWidth="1"/>
    <col min="12" max="12" width="6.7265625" bestFit="1" customWidth="1"/>
    <col min="13" max="13" width="7.1796875" bestFit="1" customWidth="1"/>
    <col min="14" max="14" width="4.54296875" bestFit="1" customWidth="1"/>
    <col min="15" max="15" width="10.7265625" bestFit="1" customWidth="1"/>
    <col min="16" max="16" width="4.08984375" bestFit="1" customWidth="1"/>
    <col min="17" max="18" width="3.81640625" bestFit="1" customWidth="1"/>
    <col min="19" max="19" width="10.7265625" bestFit="1" customWidth="1"/>
    <col min="20" max="20" width="5.81640625" bestFit="1" customWidth="1"/>
    <col min="21" max="21" width="10.7265625" bestFit="1" customWidth="1"/>
    <col min="22" max="22" width="10.54296875" bestFit="1" customWidth="1"/>
    <col min="23" max="23" width="5.81640625" bestFit="1" customWidth="1"/>
    <col min="24" max="24" width="10.54296875" bestFit="1" customWidth="1"/>
    <col min="25" max="25" width="5.81640625" bestFit="1" customWidth="1"/>
    <col min="26" max="26" width="10.54296875" bestFit="1" customWidth="1"/>
    <col min="27" max="27" width="5.81640625" bestFit="1" customWidth="1"/>
    <col min="28" max="28" width="10.54296875" bestFit="1" customWidth="1"/>
    <col min="29" max="29" width="5.81640625" bestFit="1" customWidth="1"/>
    <col min="30" max="30" width="10.54296875" bestFit="1" customWidth="1"/>
    <col min="31" max="31" width="5.81640625" bestFit="1" customWidth="1"/>
    <col min="32" max="32" width="10.54296875" bestFit="1" customWidth="1"/>
    <col min="33" max="33" width="5.81640625" bestFit="1" customWidth="1"/>
    <col min="34" max="34" width="10.54296875" bestFit="1" customWidth="1"/>
    <col min="35" max="35" width="5.81640625" bestFit="1" customWidth="1"/>
    <col min="36" max="36" width="10.54296875" bestFit="1" customWidth="1"/>
    <col min="37" max="37" width="5.81640625" bestFit="1" customWidth="1"/>
    <col min="38" max="38" width="10.54296875" bestFit="1" customWidth="1"/>
    <col min="39" max="39" width="5.81640625" bestFit="1" customWidth="1"/>
    <col min="40" max="40" width="10.54296875" bestFit="1" customWidth="1"/>
    <col min="41" max="41" width="5.81640625" bestFit="1" customWidth="1"/>
    <col min="42" max="42" width="10.54296875" bestFit="1" customWidth="1"/>
    <col min="43" max="43" width="5.81640625" bestFit="1" customWidth="1"/>
    <col min="44" max="44" width="10.54296875" bestFit="1" customWidth="1"/>
    <col min="45" max="45" width="5.81640625" bestFit="1" customWidth="1"/>
    <col min="46" max="46" width="10.54296875" bestFit="1" customWidth="1"/>
    <col min="47" max="47" width="5.81640625" bestFit="1" customWidth="1"/>
    <col min="48" max="48" width="10.54296875" bestFit="1" customWidth="1"/>
    <col min="49" max="49" width="5.81640625" bestFit="1" customWidth="1"/>
    <col min="50" max="50" width="10.54296875" bestFit="1" customWidth="1"/>
    <col min="51" max="51" width="10.7265625" bestFit="1" customWidth="1"/>
    <col min="52" max="52" width="10.54296875" bestFit="1" customWidth="1"/>
    <col min="53" max="53" width="6.54296875" bestFit="1" customWidth="1"/>
    <col min="54" max="54" width="4.81640625" bestFit="1" customWidth="1"/>
    <col min="55" max="56" width="9.54296875" bestFit="1" customWidth="1"/>
    <col min="57" max="57" width="5.81640625" bestFit="1" customWidth="1"/>
    <col min="58" max="58" width="10.54296875" bestFit="1" customWidth="1"/>
    <col min="59" max="59" width="9.54296875" bestFit="1" customWidth="1"/>
    <col min="60" max="60" width="5.81640625" bestFit="1" customWidth="1"/>
    <col min="61" max="62" width="9.54296875" bestFit="1" customWidth="1"/>
    <col min="63" max="63" width="5.81640625" bestFit="1" customWidth="1"/>
    <col min="64" max="65" width="10.54296875" bestFit="1" customWidth="1"/>
    <col min="66" max="66" width="5.81640625" bestFit="1" customWidth="1"/>
    <col min="67" max="68" width="10.54296875" bestFit="1" customWidth="1"/>
    <col min="69" max="69" width="10.7265625" bestFit="1" customWidth="1"/>
  </cols>
  <sheetData>
    <row r="3" spans="1:3" x14ac:dyDescent="0.35">
      <c r="A3" s="6" t="s">
        <v>54</v>
      </c>
      <c r="B3" t="s">
        <v>67</v>
      </c>
      <c r="C3" t="s">
        <v>68</v>
      </c>
    </row>
    <row r="4" spans="1:3" x14ac:dyDescent="0.35">
      <c r="A4" s="8" t="s">
        <v>12</v>
      </c>
      <c r="B4" s="9">
        <v>2160</v>
      </c>
      <c r="C4" s="9">
        <v>2364</v>
      </c>
    </row>
    <row r="5" spans="1:3" x14ac:dyDescent="0.35">
      <c r="A5" s="8" t="s">
        <v>13</v>
      </c>
      <c r="B5" s="9">
        <v>1350</v>
      </c>
      <c r="C5" s="9">
        <v>1458</v>
      </c>
    </row>
    <row r="6" spans="1:3" x14ac:dyDescent="0.35">
      <c r="A6" s="8" t="s">
        <v>14</v>
      </c>
      <c r="B6" s="9">
        <v>2760</v>
      </c>
      <c r="C6" s="9">
        <v>3078</v>
      </c>
    </row>
    <row r="7" spans="1:3" x14ac:dyDescent="0.35">
      <c r="A7" s="8" t="s">
        <v>15</v>
      </c>
      <c r="B7" s="9">
        <v>3300</v>
      </c>
      <c r="C7" s="9">
        <v>3156</v>
      </c>
    </row>
    <row r="8" spans="1:3" x14ac:dyDescent="0.35">
      <c r="A8" s="8" t="s">
        <v>16</v>
      </c>
      <c r="B8" s="9">
        <v>2580</v>
      </c>
      <c r="C8" s="9">
        <v>2214</v>
      </c>
    </row>
    <row r="9" spans="1:3" x14ac:dyDescent="0.35">
      <c r="A9" s="8" t="s">
        <v>53</v>
      </c>
      <c r="B9" s="9">
        <v>12150</v>
      </c>
      <c r="C9" s="9">
        <v>12270</v>
      </c>
    </row>
    <row r="22" spans="1:15" x14ac:dyDescent="0.35">
      <c r="A22" s="6" t="s">
        <v>61</v>
      </c>
      <c r="B22" s="6" t="s">
        <v>52</v>
      </c>
    </row>
    <row r="23" spans="1:15" x14ac:dyDescent="0.35">
      <c r="A23" s="6" t="s">
        <v>54</v>
      </c>
      <c r="B23" t="s">
        <v>49</v>
      </c>
      <c r="C23" t="s">
        <v>50</v>
      </c>
      <c r="D23" t="s">
        <v>34</v>
      </c>
      <c r="E23" t="s">
        <v>48</v>
      </c>
      <c r="F23" t="s">
        <v>43</v>
      </c>
      <c r="G23" t="s">
        <v>40</v>
      </c>
      <c r="H23" t="s">
        <v>42</v>
      </c>
      <c r="I23" t="s">
        <v>45</v>
      </c>
      <c r="J23" t="s">
        <v>41</v>
      </c>
      <c r="K23" t="s">
        <v>46</v>
      </c>
      <c r="L23" t="s">
        <v>44</v>
      </c>
      <c r="M23" t="s">
        <v>47</v>
      </c>
      <c r="N23" t="s">
        <v>39</v>
      </c>
      <c r="O23" t="s">
        <v>53</v>
      </c>
    </row>
    <row r="24" spans="1:15" x14ac:dyDescent="0.35">
      <c r="A24" s="8" t="s">
        <v>12</v>
      </c>
      <c r="B24" s="9"/>
      <c r="C24" s="9"/>
      <c r="D24" s="9">
        <v>342</v>
      </c>
      <c r="E24" s="9"/>
      <c r="F24" s="9"/>
      <c r="G24" s="9">
        <v>240</v>
      </c>
      <c r="H24" s="9">
        <v>960</v>
      </c>
      <c r="I24" s="9"/>
      <c r="J24" s="9">
        <v>240</v>
      </c>
      <c r="K24" s="9"/>
      <c r="L24" s="9"/>
      <c r="M24" s="9">
        <v>72</v>
      </c>
      <c r="N24" s="9">
        <v>510</v>
      </c>
      <c r="O24" s="9">
        <v>2364</v>
      </c>
    </row>
    <row r="25" spans="1:15" x14ac:dyDescent="0.35">
      <c r="A25" s="8" t="s">
        <v>13</v>
      </c>
      <c r="B25" s="9"/>
      <c r="C25" s="9">
        <v>450</v>
      </c>
      <c r="D25" s="9">
        <v>174</v>
      </c>
      <c r="E25" s="9">
        <v>150</v>
      </c>
      <c r="F25" s="9"/>
      <c r="G25" s="9">
        <v>300</v>
      </c>
      <c r="H25" s="9"/>
      <c r="I25" s="9"/>
      <c r="J25" s="9">
        <v>240</v>
      </c>
      <c r="K25" s="9"/>
      <c r="L25" s="9"/>
      <c r="M25" s="9">
        <v>144</v>
      </c>
      <c r="N25" s="9"/>
      <c r="O25" s="9">
        <v>1458</v>
      </c>
    </row>
    <row r="26" spans="1:15" x14ac:dyDescent="0.35">
      <c r="A26" s="8" t="s">
        <v>14</v>
      </c>
      <c r="B26" s="9"/>
      <c r="C26" s="9">
        <v>450</v>
      </c>
      <c r="D26" s="9">
        <v>210</v>
      </c>
      <c r="E26" s="9">
        <v>450</v>
      </c>
      <c r="F26" s="9"/>
      <c r="G26" s="9">
        <v>480</v>
      </c>
      <c r="H26" s="9"/>
      <c r="I26" s="9"/>
      <c r="J26" s="9">
        <v>720</v>
      </c>
      <c r="K26" s="9"/>
      <c r="L26" s="9"/>
      <c r="M26" s="9">
        <v>288</v>
      </c>
      <c r="N26" s="9">
        <v>480</v>
      </c>
      <c r="O26" s="9">
        <v>3078</v>
      </c>
    </row>
    <row r="27" spans="1:15" x14ac:dyDescent="0.35">
      <c r="A27" s="8" t="s">
        <v>15</v>
      </c>
      <c r="B27" s="9">
        <v>720</v>
      </c>
      <c r="C27" s="9"/>
      <c r="D27" s="9"/>
      <c r="E27" s="9">
        <v>450</v>
      </c>
      <c r="F27" s="9">
        <v>660</v>
      </c>
      <c r="G27" s="9"/>
      <c r="H27" s="9">
        <v>90</v>
      </c>
      <c r="I27" s="9"/>
      <c r="J27" s="9"/>
      <c r="K27" s="9">
        <v>1020</v>
      </c>
      <c r="L27" s="9"/>
      <c r="M27" s="9">
        <v>216</v>
      </c>
      <c r="N27" s="9"/>
      <c r="O27" s="9">
        <v>3156</v>
      </c>
    </row>
    <row r="28" spans="1:15" x14ac:dyDescent="0.35">
      <c r="A28" s="8" t="s">
        <v>16</v>
      </c>
      <c r="B28" s="9">
        <v>180</v>
      </c>
      <c r="C28" s="9"/>
      <c r="D28" s="9">
        <v>300</v>
      </c>
      <c r="E28" s="9">
        <v>150</v>
      </c>
      <c r="F28" s="9"/>
      <c r="G28" s="9"/>
      <c r="H28" s="9"/>
      <c r="I28" s="9">
        <v>480</v>
      </c>
      <c r="J28" s="9"/>
      <c r="K28" s="9"/>
      <c r="L28" s="9">
        <v>960</v>
      </c>
      <c r="M28" s="9">
        <v>144</v>
      </c>
      <c r="N28" s="9"/>
      <c r="O28" s="9">
        <v>2214</v>
      </c>
    </row>
    <row r="29" spans="1:15" x14ac:dyDescent="0.35">
      <c r="A29" s="8" t="s">
        <v>53</v>
      </c>
      <c r="B29" s="9">
        <v>900</v>
      </c>
      <c r="C29" s="9">
        <v>900</v>
      </c>
      <c r="D29" s="9">
        <v>1026</v>
      </c>
      <c r="E29" s="9">
        <v>1200</v>
      </c>
      <c r="F29" s="9">
        <v>660</v>
      </c>
      <c r="G29" s="9">
        <v>1020</v>
      </c>
      <c r="H29" s="9">
        <v>1050</v>
      </c>
      <c r="I29" s="9">
        <v>480</v>
      </c>
      <c r="J29" s="9">
        <v>1200</v>
      </c>
      <c r="K29" s="9">
        <v>1020</v>
      </c>
      <c r="L29" s="9">
        <v>960</v>
      </c>
      <c r="M29" s="9">
        <v>864</v>
      </c>
      <c r="N29" s="9">
        <v>990</v>
      </c>
      <c r="O29" s="9">
        <v>12270</v>
      </c>
    </row>
    <row r="38" spans="1:2" x14ac:dyDescent="0.35">
      <c r="A38" s="6" t="s">
        <v>54</v>
      </c>
      <c r="B38" t="s">
        <v>74</v>
      </c>
    </row>
    <row r="39" spans="1:2" x14ac:dyDescent="0.35">
      <c r="A39" s="8" t="s">
        <v>12</v>
      </c>
      <c r="B39" s="5">
        <v>-22.666666666666668</v>
      </c>
    </row>
    <row r="40" spans="1:2" x14ac:dyDescent="0.35">
      <c r="A40" s="8" t="s">
        <v>13</v>
      </c>
      <c r="B40" s="5">
        <v>-12</v>
      </c>
    </row>
    <row r="41" spans="1:2" x14ac:dyDescent="0.35">
      <c r="A41" s="8" t="s">
        <v>14</v>
      </c>
      <c r="B41" s="5">
        <v>-22.714285714285715</v>
      </c>
    </row>
    <row r="42" spans="1:2" x14ac:dyDescent="0.35">
      <c r="A42" s="8" t="s">
        <v>15</v>
      </c>
      <c r="B42" s="5">
        <v>10.285714285714286</v>
      </c>
    </row>
    <row r="43" spans="1:2" x14ac:dyDescent="0.35">
      <c r="A43" s="8" t="s">
        <v>16</v>
      </c>
      <c r="B43" s="5">
        <v>52.285714285714285</v>
      </c>
    </row>
    <row r="44" spans="1:2" x14ac:dyDescent="0.35">
      <c r="A44" s="8" t="s">
        <v>53</v>
      </c>
      <c r="B44" s="5">
        <v>-2.2641509433962264</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36437-F279-4009-B852-4A4C15ADE0D9}">
  <dimension ref="A3:H61"/>
  <sheetViews>
    <sheetView topLeftCell="A31" zoomScale="60" zoomScaleNormal="60" workbookViewId="0">
      <selection activeCell="O42" sqref="O42"/>
    </sheetView>
  </sheetViews>
  <sheetFormatPr defaultRowHeight="14.5" x14ac:dyDescent="0.35"/>
  <cols>
    <col min="1" max="1" width="16.6328125" bestFit="1" customWidth="1"/>
    <col min="2" max="2" width="16.7265625" bestFit="1" customWidth="1"/>
    <col min="3" max="7" width="7.36328125" bestFit="1" customWidth="1"/>
    <col min="8" max="8" width="10.7265625" bestFit="1" customWidth="1"/>
    <col min="9" max="10" width="5.81640625" bestFit="1" customWidth="1"/>
    <col min="11" max="11" width="10.7265625" bestFit="1" customWidth="1"/>
    <col min="12" max="12" width="19.6328125" bestFit="1" customWidth="1"/>
    <col min="13" max="13" width="16.6328125" bestFit="1" customWidth="1"/>
    <col min="14" max="14" width="24.36328125" bestFit="1" customWidth="1"/>
    <col min="15" max="15" width="21.54296875" bestFit="1" customWidth="1"/>
    <col min="16" max="16" width="18.7265625" bestFit="1" customWidth="1"/>
    <col min="17" max="17" width="19.453125" bestFit="1" customWidth="1"/>
    <col min="18" max="18" width="16.6328125" bestFit="1" customWidth="1"/>
    <col min="19" max="19" width="18.7265625" bestFit="1" customWidth="1"/>
    <col min="20" max="20" width="24.26953125" bestFit="1" customWidth="1"/>
    <col min="21" max="21" width="21.54296875" bestFit="1" customWidth="1"/>
    <col min="22" max="22" width="23.54296875" bestFit="1" customWidth="1"/>
  </cols>
  <sheetData>
    <row r="3" spans="1:8" x14ac:dyDescent="0.35">
      <c r="A3" s="6" t="s">
        <v>65</v>
      </c>
      <c r="B3" s="6" t="s">
        <v>52</v>
      </c>
    </row>
    <row r="4" spans="1:8" x14ac:dyDescent="0.35">
      <c r="A4" s="6" t="s">
        <v>54</v>
      </c>
      <c r="B4">
        <v>1</v>
      </c>
      <c r="C4">
        <v>2</v>
      </c>
      <c r="D4">
        <v>3</v>
      </c>
      <c r="E4">
        <v>4</v>
      </c>
      <c r="F4">
        <v>5</v>
      </c>
      <c r="G4">
        <v>6</v>
      </c>
      <c r="H4" t="s">
        <v>53</v>
      </c>
    </row>
    <row r="5" spans="1:8" x14ac:dyDescent="0.35">
      <c r="A5" s="8" t="s">
        <v>80</v>
      </c>
      <c r="B5" s="9">
        <v>25600</v>
      </c>
      <c r="C5" s="9">
        <v>25600</v>
      </c>
      <c r="D5" s="9">
        <v>25600</v>
      </c>
      <c r="E5" s="9">
        <v>25600</v>
      </c>
      <c r="F5" s="9">
        <v>25600</v>
      </c>
      <c r="G5" s="9">
        <v>25600</v>
      </c>
      <c r="H5" s="9">
        <v>153600</v>
      </c>
    </row>
    <row r="6" spans="1:8" x14ac:dyDescent="0.35">
      <c r="A6" s="8" t="s">
        <v>81</v>
      </c>
      <c r="B6" s="9">
        <v>21850</v>
      </c>
      <c r="C6" s="9">
        <v>21850</v>
      </c>
      <c r="D6" s="9">
        <v>21850</v>
      </c>
      <c r="E6" s="9">
        <v>21850</v>
      </c>
      <c r="F6" s="9">
        <v>21850</v>
      </c>
      <c r="G6" s="9">
        <v>21850</v>
      </c>
      <c r="H6" s="9">
        <v>131100</v>
      </c>
    </row>
    <row r="7" spans="1:8" x14ac:dyDescent="0.35">
      <c r="A7" s="8" t="s">
        <v>82</v>
      </c>
      <c r="B7" s="9">
        <v>36000</v>
      </c>
      <c r="C7" s="9">
        <v>36000</v>
      </c>
      <c r="D7" s="9">
        <v>36000</v>
      </c>
      <c r="E7" s="9">
        <v>36000</v>
      </c>
      <c r="F7" s="9">
        <v>36000</v>
      </c>
      <c r="G7" s="9">
        <v>36000</v>
      </c>
      <c r="H7" s="9">
        <v>216000</v>
      </c>
    </row>
    <row r="8" spans="1:8" x14ac:dyDescent="0.35">
      <c r="A8" s="8" t="s">
        <v>83</v>
      </c>
      <c r="B8" s="9">
        <v>48500</v>
      </c>
      <c r="C8" s="9">
        <v>48500</v>
      </c>
      <c r="D8" s="9">
        <v>48500</v>
      </c>
      <c r="E8" s="9">
        <v>48500</v>
      </c>
      <c r="F8" s="9">
        <v>48500</v>
      </c>
      <c r="G8" s="9">
        <v>48500</v>
      </c>
      <c r="H8" s="9">
        <v>291000</v>
      </c>
    </row>
    <row r="9" spans="1:8" x14ac:dyDescent="0.35">
      <c r="A9" s="8" t="s">
        <v>84</v>
      </c>
      <c r="B9" s="9">
        <v>29080</v>
      </c>
      <c r="C9" s="9">
        <v>29080</v>
      </c>
      <c r="D9" s="9">
        <v>29080</v>
      </c>
      <c r="E9" s="9">
        <v>29080</v>
      </c>
      <c r="F9" s="9">
        <v>29080</v>
      </c>
      <c r="G9" s="9">
        <v>29080</v>
      </c>
      <c r="H9" s="9">
        <v>174480</v>
      </c>
    </row>
    <row r="10" spans="1:8" x14ac:dyDescent="0.35">
      <c r="A10" s="8" t="s">
        <v>53</v>
      </c>
      <c r="B10" s="9">
        <v>161030</v>
      </c>
      <c r="C10" s="9">
        <v>161030</v>
      </c>
      <c r="D10" s="9">
        <v>161030</v>
      </c>
      <c r="E10" s="9">
        <v>161030</v>
      </c>
      <c r="F10" s="9">
        <v>161030</v>
      </c>
      <c r="G10" s="9">
        <v>161030</v>
      </c>
      <c r="H10" s="9">
        <v>966180</v>
      </c>
    </row>
    <row r="29" spans="1:8" x14ac:dyDescent="0.35">
      <c r="A29" s="6" t="s">
        <v>66</v>
      </c>
      <c r="B29" s="6" t="s">
        <v>52</v>
      </c>
    </row>
    <row r="30" spans="1:8" x14ac:dyDescent="0.35">
      <c r="A30" s="6" t="s">
        <v>54</v>
      </c>
      <c r="B30">
        <v>1</v>
      </c>
      <c r="C30">
        <v>2</v>
      </c>
      <c r="D30">
        <v>3</v>
      </c>
      <c r="E30">
        <v>4</v>
      </c>
      <c r="F30">
        <v>5</v>
      </c>
      <c r="G30">
        <v>6</v>
      </c>
      <c r="H30" t="s">
        <v>53</v>
      </c>
    </row>
    <row r="31" spans="1:8" x14ac:dyDescent="0.35">
      <c r="A31" s="8" t="s">
        <v>80</v>
      </c>
      <c r="B31" s="9">
        <v>27700</v>
      </c>
      <c r="C31" s="9">
        <v>27700</v>
      </c>
      <c r="D31" s="9">
        <v>27700</v>
      </c>
      <c r="E31" s="9">
        <v>28350</v>
      </c>
      <c r="F31" s="9">
        <v>28350</v>
      </c>
      <c r="G31" s="9">
        <v>28350</v>
      </c>
      <c r="H31" s="9">
        <v>168150</v>
      </c>
    </row>
    <row r="32" spans="1:8" x14ac:dyDescent="0.35">
      <c r="A32" s="8" t="s">
        <v>81</v>
      </c>
      <c r="B32" s="9">
        <v>26100</v>
      </c>
      <c r="C32" s="9">
        <v>26100</v>
      </c>
      <c r="D32" s="9">
        <v>26100</v>
      </c>
      <c r="E32" s="9">
        <v>19100</v>
      </c>
      <c r="F32" s="9">
        <v>19100</v>
      </c>
      <c r="G32" s="9">
        <v>19100</v>
      </c>
      <c r="H32" s="9">
        <v>135600</v>
      </c>
    </row>
    <row r="33" spans="1:8" x14ac:dyDescent="0.35">
      <c r="A33" s="8" t="s">
        <v>82</v>
      </c>
      <c r="B33" s="9">
        <v>44050</v>
      </c>
      <c r="C33" s="9">
        <v>44050</v>
      </c>
      <c r="D33" s="9">
        <v>44050</v>
      </c>
      <c r="E33" s="9">
        <v>37050</v>
      </c>
      <c r="F33" s="9">
        <v>37050</v>
      </c>
      <c r="G33" s="9">
        <v>37050</v>
      </c>
      <c r="H33" s="9">
        <v>243300</v>
      </c>
    </row>
    <row r="34" spans="1:8" x14ac:dyDescent="0.35">
      <c r="A34" s="8" t="s">
        <v>83</v>
      </c>
      <c r="B34" s="9">
        <v>45250</v>
      </c>
      <c r="C34" s="9">
        <v>45250</v>
      </c>
      <c r="D34" s="9">
        <v>45250</v>
      </c>
      <c r="E34" s="9">
        <v>45250</v>
      </c>
      <c r="F34" s="9">
        <v>45250</v>
      </c>
      <c r="G34" s="9">
        <v>45250</v>
      </c>
      <c r="H34" s="9">
        <v>271500</v>
      </c>
    </row>
    <row r="35" spans="1:8" x14ac:dyDescent="0.35">
      <c r="A35" s="8" t="s">
        <v>84</v>
      </c>
      <c r="B35" s="9">
        <v>23040</v>
      </c>
      <c r="C35" s="9">
        <v>23040</v>
      </c>
      <c r="D35" s="9">
        <v>23040</v>
      </c>
      <c r="E35" s="9">
        <v>23040</v>
      </c>
      <c r="F35" s="9">
        <v>23040</v>
      </c>
      <c r="G35" s="9">
        <v>23040</v>
      </c>
      <c r="H35" s="9">
        <v>138240</v>
      </c>
    </row>
    <row r="36" spans="1:8" x14ac:dyDescent="0.35">
      <c r="A36" s="8" t="s">
        <v>53</v>
      </c>
      <c r="B36" s="9">
        <v>166140</v>
      </c>
      <c r="C36" s="9">
        <v>166140</v>
      </c>
      <c r="D36" s="9">
        <v>166140</v>
      </c>
      <c r="E36" s="9">
        <v>152790</v>
      </c>
      <c r="F36" s="9">
        <v>152790</v>
      </c>
      <c r="G36" s="9">
        <v>152790</v>
      </c>
      <c r="H36" s="9">
        <v>956790</v>
      </c>
    </row>
    <row r="54" spans="1:8" x14ac:dyDescent="0.35">
      <c r="A54" s="6" t="s">
        <v>71</v>
      </c>
      <c r="B54" s="6" t="s">
        <v>52</v>
      </c>
    </row>
    <row r="55" spans="1:8" x14ac:dyDescent="0.35">
      <c r="A55" s="6" t="s">
        <v>54</v>
      </c>
      <c r="B55">
        <v>1</v>
      </c>
      <c r="C55">
        <v>2</v>
      </c>
      <c r="D55">
        <v>3</v>
      </c>
      <c r="E55">
        <v>4</v>
      </c>
      <c r="F55">
        <v>5</v>
      </c>
      <c r="G55">
        <v>6</v>
      </c>
      <c r="H55" t="s">
        <v>53</v>
      </c>
    </row>
    <row r="56" spans="1:8" x14ac:dyDescent="0.35">
      <c r="A56" s="8" t="s">
        <v>80</v>
      </c>
      <c r="B56" s="9">
        <v>-2100</v>
      </c>
      <c r="C56" s="9">
        <v>-2100</v>
      </c>
      <c r="D56" s="9">
        <v>-2100</v>
      </c>
      <c r="E56" s="9">
        <v>-2750</v>
      </c>
      <c r="F56" s="9">
        <v>-2750</v>
      </c>
      <c r="G56" s="9">
        <v>-2750</v>
      </c>
      <c r="H56" s="9">
        <v>-14550</v>
      </c>
    </row>
    <row r="57" spans="1:8" x14ac:dyDescent="0.35">
      <c r="A57" s="8" t="s">
        <v>81</v>
      </c>
      <c r="B57" s="9">
        <v>-4250</v>
      </c>
      <c r="C57" s="9">
        <v>-4250</v>
      </c>
      <c r="D57" s="9">
        <v>-4250</v>
      </c>
      <c r="E57" s="9">
        <v>2750</v>
      </c>
      <c r="F57" s="9">
        <v>2750</v>
      </c>
      <c r="G57" s="9">
        <v>2750</v>
      </c>
      <c r="H57" s="9">
        <v>-4500</v>
      </c>
    </row>
    <row r="58" spans="1:8" x14ac:dyDescent="0.35">
      <c r="A58" s="8" t="s">
        <v>82</v>
      </c>
      <c r="B58" s="9">
        <v>-8050</v>
      </c>
      <c r="C58" s="9">
        <v>-8050</v>
      </c>
      <c r="D58" s="9">
        <v>-8050</v>
      </c>
      <c r="E58" s="9">
        <v>-1050</v>
      </c>
      <c r="F58" s="9">
        <v>-1050</v>
      </c>
      <c r="G58" s="9">
        <v>-1050</v>
      </c>
      <c r="H58" s="9">
        <v>-27300</v>
      </c>
    </row>
    <row r="59" spans="1:8" x14ac:dyDescent="0.35">
      <c r="A59" s="8" t="s">
        <v>83</v>
      </c>
      <c r="B59" s="9">
        <v>3250</v>
      </c>
      <c r="C59" s="9">
        <v>3250</v>
      </c>
      <c r="D59" s="9">
        <v>3250</v>
      </c>
      <c r="E59" s="9">
        <v>3250</v>
      </c>
      <c r="F59" s="9">
        <v>3250</v>
      </c>
      <c r="G59" s="9">
        <v>3250</v>
      </c>
      <c r="H59" s="9">
        <v>19500</v>
      </c>
    </row>
    <row r="60" spans="1:8" x14ac:dyDescent="0.35">
      <c r="A60" s="8" t="s">
        <v>84</v>
      </c>
      <c r="B60" s="9">
        <v>6040</v>
      </c>
      <c r="C60" s="9">
        <v>6040</v>
      </c>
      <c r="D60" s="9">
        <v>6040</v>
      </c>
      <c r="E60" s="9">
        <v>6040</v>
      </c>
      <c r="F60" s="9">
        <v>6040</v>
      </c>
      <c r="G60" s="9">
        <v>6040</v>
      </c>
      <c r="H60" s="9">
        <v>36240</v>
      </c>
    </row>
    <row r="61" spans="1:8" x14ac:dyDescent="0.35">
      <c r="A61" s="8" t="s">
        <v>53</v>
      </c>
      <c r="B61" s="9">
        <v>-5110</v>
      </c>
      <c r="C61" s="9">
        <v>-5110</v>
      </c>
      <c r="D61" s="9">
        <v>-5110</v>
      </c>
      <c r="E61" s="9">
        <v>8240</v>
      </c>
      <c r="F61" s="9">
        <v>8240</v>
      </c>
      <c r="G61" s="9">
        <v>8240</v>
      </c>
      <c r="H61" s="9">
        <v>9390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FEC79-22F4-48F9-A309-9A3FCF95CAA5}">
  <dimension ref="A1:V3"/>
  <sheetViews>
    <sheetView showGridLines="0" topLeftCell="A40" zoomScale="50" zoomScaleNormal="50" workbookViewId="0">
      <selection activeCell="S78" sqref="S78"/>
    </sheetView>
  </sheetViews>
  <sheetFormatPr defaultRowHeight="14.5" x14ac:dyDescent="0.35"/>
  <cols>
    <col min="22" max="22" width="11.453125" customWidth="1"/>
  </cols>
  <sheetData>
    <row r="1" spans="1:22" ht="14.5" customHeight="1" x14ac:dyDescent="0.35">
      <c r="A1" s="11" t="s">
        <v>75</v>
      </c>
      <c r="B1" s="11"/>
      <c r="C1" s="11"/>
      <c r="D1" s="11"/>
      <c r="E1" s="11"/>
      <c r="F1" s="11"/>
      <c r="G1" s="11"/>
      <c r="H1" s="11"/>
      <c r="I1" s="11"/>
      <c r="J1" s="11"/>
      <c r="K1" s="11"/>
      <c r="L1" s="11"/>
      <c r="M1" s="11"/>
      <c r="N1" s="11"/>
      <c r="O1" s="11"/>
      <c r="P1" s="11"/>
      <c r="Q1" s="11"/>
      <c r="R1" s="11"/>
      <c r="S1" s="11"/>
      <c r="T1" s="11"/>
      <c r="U1" s="11"/>
      <c r="V1" s="11"/>
    </row>
    <row r="2" spans="1:22" ht="14.5" customHeight="1" x14ac:dyDescent="0.35">
      <c r="A2" s="11"/>
      <c r="B2" s="11"/>
      <c r="C2" s="11"/>
      <c r="D2" s="11"/>
      <c r="E2" s="11"/>
      <c r="F2" s="11"/>
      <c r="G2" s="11"/>
      <c r="H2" s="11"/>
      <c r="I2" s="11"/>
      <c r="J2" s="11"/>
      <c r="K2" s="11"/>
      <c r="L2" s="11"/>
      <c r="M2" s="11"/>
      <c r="N2" s="11"/>
      <c r="O2" s="11"/>
      <c r="P2" s="11"/>
      <c r="Q2" s="11"/>
      <c r="R2" s="11"/>
      <c r="S2" s="11"/>
      <c r="T2" s="11"/>
      <c r="U2" s="11"/>
      <c r="V2" s="11"/>
    </row>
    <row r="3" spans="1:22" ht="26" customHeight="1" x14ac:dyDescent="0.35">
      <c r="A3" s="11"/>
      <c r="B3" s="11"/>
      <c r="C3" s="11"/>
      <c r="D3" s="11"/>
      <c r="E3" s="11"/>
      <c r="F3" s="11"/>
      <c r="G3" s="11"/>
      <c r="H3" s="11"/>
      <c r="I3" s="11"/>
      <c r="J3" s="11"/>
      <c r="K3" s="11"/>
      <c r="L3" s="11"/>
      <c r="M3" s="11"/>
      <c r="N3" s="11"/>
      <c r="O3" s="11"/>
      <c r="P3" s="11"/>
      <c r="Q3" s="11"/>
      <c r="R3" s="11"/>
      <c r="S3" s="11"/>
      <c r="T3" s="11"/>
      <c r="U3" s="11"/>
      <c r="V3" s="11"/>
    </row>
  </sheetData>
  <mergeCells count="1">
    <mergeCell ref="A1: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Worksheet</vt:lpstr>
      <vt:lpstr>Pivot Table</vt:lpstr>
      <vt:lpstr>Pivot Table 2</vt:lpstr>
      <vt:lpstr>Pivot Table 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Malone</dc:creator>
  <cp:lastModifiedBy>Nse Elijah</cp:lastModifiedBy>
  <cp:lastPrinted>2023-04-04T12:17:57Z</cp:lastPrinted>
  <dcterms:created xsi:type="dcterms:W3CDTF">2022-02-10T22:10:14Z</dcterms:created>
  <dcterms:modified xsi:type="dcterms:W3CDTF">2023-04-04T16:56:25Z</dcterms:modified>
</cp:coreProperties>
</file>